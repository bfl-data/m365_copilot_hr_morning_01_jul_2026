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R Ops Data" sheetId="1" state="visible" r:id="rId3"/>
    <sheet name="Pivot - Cases by Type" sheetId="2" state="visible" r:id="rId4"/>
    <sheet name="Pivot - TAT by HRBP" sheetId="3" state="visible" r:id="rId5"/>
    <sheet name="Pivot - SLA Breach by Reg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<sst xmlns="http://schemas.openxmlformats.org/spreadsheetml/2006/main" count="341" uniqueCount="130">
  <si>
    <t xml:space="preserve">BFL HR Operations — June FY2026-27   |   Copilot in Excel Demo Dataset</t>
  </si>
  <si>
    <t xml:space="preserve">Request ID</t>
  </si>
  <si>
    <t xml:space="preserve">Department</t>
  </si>
  <si>
    <t xml:space="preserve">Dept Code</t>
  </si>
  <si>
    <t xml:space="preserve">Region</t>
  </si>
  <si>
    <t xml:space="preserve">HR Request Type</t>
  </si>
  <si>
    <t xml:space="preserve">HR BP Owner</t>
  </si>
  <si>
    <t xml:space="preserve">Request Date</t>
  </si>
  <si>
    <t xml:space="preserve">Resolved Date</t>
  </si>
  <si>
    <t xml:space="preserve">TAT (Days)</t>
  </si>
  <si>
    <t xml:space="preserve">SLA Limit (Days)</t>
  </si>
  <si>
    <t xml:space="preserve">Employee Band</t>
  </si>
  <si>
    <t xml:space="preserve">Priority</t>
  </si>
  <si>
    <t xml:space="preserve">Status</t>
  </si>
  <si>
    <t xml:space="preserve">➕ Escalation Flag</t>
  </si>
  <si>
    <t xml:space="preserve">➕ SLA Breach</t>
  </si>
  <si>
    <t xml:space="preserve">➕ Pending Days</t>
  </si>
  <si>
    <t xml:space="preserve">➕ TAT Category</t>
  </si>
  <si>
    <t xml:space="preserve">HRO-001</t>
  </si>
  <si>
    <t xml:space="preserve">Sales &amp; Distribution</t>
  </si>
  <si>
    <t xml:space="preserve">SSD01</t>
  </si>
  <si>
    <t xml:space="preserve">West</t>
  </si>
  <si>
    <t xml:space="preserve">Onboarding</t>
  </si>
  <si>
    <t xml:space="preserve">Pooja Nair</t>
  </si>
  <si>
    <t xml:space="preserve">1 Jun 2026</t>
  </si>
  <si>
    <t xml:space="preserve">4 Jun 2026</t>
  </si>
  <si>
    <t xml:space="preserve">M4</t>
  </si>
  <si>
    <t xml:space="preserve">Normal</t>
  </si>
  <si>
    <t xml:space="preserve">Closed</t>
  </si>
  <si>
    <t xml:space="preserve">HRO-002</t>
  </si>
  <si>
    <t xml:space="preserve">Risk &amp; Compliance</t>
  </si>
  <si>
    <t xml:space="preserve">SRC02</t>
  </si>
  <si>
    <t xml:space="preserve">Payroll Query</t>
  </si>
  <si>
    <t xml:space="preserve">Rahul Sharma</t>
  </si>
  <si>
    <t xml:space="preserve">28 May 2026</t>
  </si>
  <si>
    <t xml:space="preserve">5 Jun 2026</t>
  </si>
  <si>
    <t xml:space="preserve">M5</t>
  </si>
  <si>
    <t xml:space="preserve">High</t>
  </si>
  <si>
    <t xml:space="preserve">HRO-003</t>
  </si>
  <si>
    <t xml:space="preserve">Credit Operations</t>
  </si>
  <si>
    <t xml:space="preserve">SCO03</t>
  </si>
  <si>
    <t xml:space="preserve">Central</t>
  </si>
  <si>
    <t xml:space="preserve">Separation</t>
  </si>
  <si>
    <t xml:space="preserve">Anita Desai</t>
  </si>
  <si>
    <t xml:space="preserve">2 Jun 2026</t>
  </si>
  <si>
    <t xml:space="preserve">M3</t>
  </si>
  <si>
    <t xml:space="preserve">Pending</t>
  </si>
  <si>
    <t xml:space="preserve">HRO-004</t>
  </si>
  <si>
    <t xml:space="preserve">Finance &amp; Accounts</t>
  </si>
  <si>
    <t xml:space="preserve">SFA04</t>
  </si>
  <si>
    <t xml:space="preserve">Document Update</t>
  </si>
  <si>
    <t xml:space="preserve">Vikram Joshi</t>
  </si>
  <si>
    <t xml:space="preserve">30 May 2026</t>
  </si>
  <si>
    <t xml:space="preserve">3 Jun 2026</t>
  </si>
  <si>
    <t xml:space="preserve">M6</t>
  </si>
  <si>
    <t xml:space="preserve">HRO-005</t>
  </si>
  <si>
    <t xml:space="preserve">Collections</t>
  </si>
  <si>
    <t xml:space="preserve">SCL05</t>
  </si>
  <si>
    <t xml:space="preserve">Grievance</t>
  </si>
  <si>
    <t xml:space="preserve">25 May 2026</t>
  </si>
  <si>
    <t xml:space="preserve">6 Jun 2026</t>
  </si>
  <si>
    <t xml:space="preserve">Urgent</t>
  </si>
  <si>
    <t xml:space="preserve">HRO-006</t>
  </si>
  <si>
    <t xml:space="preserve">Legal &amp; Compliance</t>
  </si>
  <si>
    <t xml:space="preserve">SLC06</t>
  </si>
  <si>
    <t xml:space="preserve">29 May 2026</t>
  </si>
  <si>
    <t xml:space="preserve">M7</t>
  </si>
  <si>
    <t xml:space="preserve">Escalated</t>
  </si>
  <si>
    <t xml:space="preserve">HRO-007</t>
  </si>
  <si>
    <t xml:space="preserve">Technology</t>
  </si>
  <si>
    <t xml:space="preserve">STE07</t>
  </si>
  <si>
    <t xml:space="preserve">Ravi Kumar</t>
  </si>
  <si>
    <t xml:space="preserve">HRO-008</t>
  </si>
  <si>
    <t xml:space="preserve">Operations</t>
  </si>
  <si>
    <t xml:space="preserve">SOP08</t>
  </si>
  <si>
    <t xml:space="preserve">HRO-009</t>
  </si>
  <si>
    <t xml:space="preserve">Wealth Management</t>
  </si>
  <si>
    <t xml:space="preserve">SWM09</t>
  </si>
  <si>
    <t xml:space="preserve">31 May 2026</t>
  </si>
  <si>
    <t xml:space="preserve">HRO-010</t>
  </si>
  <si>
    <t xml:space="preserve">SSD10</t>
  </si>
  <si>
    <t xml:space="preserve">26 May 2026</t>
  </si>
  <si>
    <t xml:space="preserve">HRO-011</t>
  </si>
  <si>
    <t xml:space="preserve">SCO11</t>
  </si>
  <si>
    <t xml:space="preserve">27 May 2026</t>
  </si>
  <si>
    <t xml:space="preserve">HRO-012</t>
  </si>
  <si>
    <t xml:space="preserve">SFA12</t>
  </si>
  <si>
    <t xml:space="preserve">HRO-013</t>
  </si>
  <si>
    <t xml:space="preserve">SRC13</t>
  </si>
  <si>
    <t xml:space="preserve">24 May 2026</t>
  </si>
  <si>
    <t xml:space="preserve">HRO-014</t>
  </si>
  <si>
    <t xml:space="preserve">SCL14</t>
  </si>
  <si>
    <t xml:space="preserve">HRO-015</t>
  </si>
  <si>
    <t xml:space="preserve">STE15</t>
  </si>
  <si>
    <t xml:space="preserve">HRO-016</t>
  </si>
  <si>
    <t xml:space="preserve">SOP16</t>
  </si>
  <si>
    <t xml:space="preserve">22 May 2026</t>
  </si>
  <si>
    <t xml:space="preserve">HRO-017</t>
  </si>
  <si>
    <t xml:space="preserve">SLC17</t>
  </si>
  <si>
    <t xml:space="preserve">HRO-018</t>
  </si>
  <si>
    <t xml:space="preserve">SWM18</t>
  </si>
  <si>
    <t xml:space="preserve">HRO-019</t>
  </si>
  <si>
    <t xml:space="preserve">SSD19</t>
  </si>
  <si>
    <t xml:space="preserve">HRO-020</t>
  </si>
  <si>
    <t xml:space="preserve">SFA20</t>
  </si>
  <si>
    <t xml:space="preserve">HRO-021</t>
  </si>
  <si>
    <t xml:space="preserve">SRC21</t>
  </si>
  <si>
    <t xml:space="preserve">20 May 2026</t>
  </si>
  <si>
    <t xml:space="preserve">HRO-022</t>
  </si>
  <si>
    <t xml:space="preserve">SCL22</t>
  </si>
  <si>
    <t xml:space="preserve">HRO-023</t>
  </si>
  <si>
    <t xml:space="preserve">SCO23</t>
  </si>
  <si>
    <t xml:space="preserve">HRO-024</t>
  </si>
  <si>
    <t xml:space="preserve">STE24</t>
  </si>
  <si>
    <t xml:space="preserve">HRO-025</t>
  </si>
  <si>
    <t xml:space="preserve">SOP25</t>
  </si>
  <si>
    <t xml:space="preserve">💡  Columns N–Q are empty intentionally. Use Copilot in Excel to add Escalation Flag, SLA Breach, Pending Days, and TAT Category — then create Pivot Tables.</t>
  </si>
  <si>
    <t xml:space="preserve">Case Count by HR Request Type and Status</t>
  </si>
  <si>
    <t xml:space="preserve">Total Cases</t>
  </si>
  <si>
    <t xml:space="preserve">Grand Total</t>
  </si>
  <si>
    <t xml:space="preserve">Average TAT (Days) by HR BP Owner and Request Type</t>
  </si>
  <si>
    <t xml:space="preserve">Overall Avg</t>
  </si>
  <si>
    <t xml:space="preserve">-</t>
  </si>
  <si>
    <t xml:space="preserve">5.8</t>
  </si>
  <si>
    <t xml:space="preserve">6.0</t>
  </si>
  <si>
    <t xml:space="preserve">9.5</t>
  </si>
  <si>
    <t xml:space="preserve">6.7</t>
  </si>
  <si>
    <t xml:space="preserve">3.5</t>
  </si>
  <si>
    <t xml:space="preserve">SLA Breach Count by Region and HR Request Type</t>
  </si>
  <si>
    <t xml:space="preserve">Total Breaches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</si>
</sst>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333333"/>
      <name val="Arial"/>
      <family val="0"/>
      <charset val="1"/>
    </font>
    <font>
      <sz val="9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D966"/>
        <bgColor rgb="FFFFFF99"/>
      </patternFill>
    </fill>
    <fill>
      <patternFill patternType="solid">
        <fgColor rgb="FFFFFFFF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2CC"/>
        <bgColor rgb="FFF2F2F2"/>
      </patternFill>
    </fill>
    <fill>
      <patternFill patternType="solid">
        <fgColor rgb="FF2E75B6"/>
        <bgColor rgb="FF0066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9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D96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2"/>
    <col collapsed="false" customWidth="true" hidden="false" outlineLevel="0" max="4" min="3" style="0" width="10"/>
    <col collapsed="false" customWidth="true" hidden="false" outlineLevel="0" max="5" min="5" style="0" width="20"/>
    <col collapsed="false" customWidth="true" hidden="false" outlineLevel="0" max="6" min="6" style="0" width="16"/>
    <col collapsed="false" customWidth="true" hidden="false" outlineLevel="0" max="8" min="7" style="0" width="14"/>
    <col collapsed="false" customWidth="true" hidden="false" outlineLevel="0" max="9" min="9" style="0" width="10"/>
    <col collapsed="false" customWidth="true" hidden="false" outlineLevel="0" max="11" min="10" style="0" width="13"/>
    <col collapsed="false" customWidth="true" hidden="false" outlineLevel="0" max="12" min="12" style="0" width="10"/>
    <col collapsed="false" customWidth="true" hidden="false" outlineLevel="0" max="13" min="13" style="0" width="12"/>
    <col collapsed="false" customWidth="true" hidden="false" outlineLevel="0" max="14" min="14" style="0" width="16"/>
    <col collapsed="false" customWidth="true" hidden="false" outlineLevel="0" max="17" min="15" style="0" width="14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customFormat="false" ht="36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3" t="s">
        <v>14</v>
      </c>
      <c r="O2" s="3" t="s">
        <v>15</v>
      </c>
      <c r="P2" s="3" t="s">
        <v>16</v>
      </c>
      <c r="Q2" s="3" t="s">
        <v>17</v>
      </c>
    </row>
    <row r="3" customFormat="false" ht="15" hidden="false" customHeight="false" outlineLevel="0" collapsed="false">
      <c r="A3" s="4" t="s">
        <v>18</v>
      </c>
      <c r="B3" s="4" t="s">
        <v>19</v>
      </c>
      <c r="C3" s="4" t="s">
        <v>20</v>
      </c>
      <c r="D3" s="4" t="s">
        <v>21</v>
      </c>
      <c r="E3" s="4" t="s">
        <v>22</v>
      </c>
      <c r="F3" s="4" t="s">
        <v>23</v>
      </c>
      <c r="G3" s="4" t="s">
        <v>24</v>
      </c>
      <c r="H3" s="4" t="s">
        <v>25</v>
      </c>
      <c r="I3" s="4" t="n">
        <v>3</v>
      </c>
      <c r="J3" s="4" t="n">
        <v>5</v>
      </c>
      <c r="K3" s="4" t="s">
        <v>26</v>
      </c>
      <c r="L3" s="4" t="s">
        <v>27</v>
      </c>
      <c r="M3" s="4" t="s">
        <v>28</v>
      </c>
    </row>
    <row r="4" customFormat="false" ht="15" hidden="false" customHeight="false" outlineLevel="0" collapsed="false">
      <c r="A4" s="5" t="s">
        <v>29</v>
      </c>
      <c r="B4" s="5" t="s">
        <v>30</v>
      </c>
      <c r="C4" s="5" t="s">
        <v>31</v>
      </c>
      <c r="D4" s="5" t="s">
        <v>21</v>
      </c>
      <c r="E4" s="5" t="s">
        <v>32</v>
      </c>
      <c r="F4" s="5" t="s">
        <v>33</v>
      </c>
      <c r="G4" s="5" t="s">
        <v>34</v>
      </c>
      <c r="H4" s="5" t="s">
        <v>35</v>
      </c>
      <c r="I4" s="5" t="n">
        <v>8</v>
      </c>
      <c r="J4" s="5" t="n">
        <v>7</v>
      </c>
      <c r="K4" s="5" t="s">
        <v>36</v>
      </c>
      <c r="L4" s="5" t="s">
        <v>37</v>
      </c>
      <c r="M4" s="5" t="s">
        <v>28</v>
      </c>
    </row>
    <row r="5" customFormat="false" ht="15" hidden="false" customHeight="false" outlineLevel="0" collapsed="false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4" t="s">
        <v>44</v>
      </c>
      <c r="H5" s="4"/>
      <c r="I5" s="4"/>
      <c r="J5" s="4" t="n">
        <v>3</v>
      </c>
      <c r="K5" s="4" t="s">
        <v>45</v>
      </c>
      <c r="L5" s="4" t="s">
        <v>27</v>
      </c>
      <c r="M5" s="4" t="s">
        <v>46</v>
      </c>
    </row>
    <row r="6" customFormat="false" ht="15" hidden="false" customHeight="false" outlineLevel="0" collapsed="false">
      <c r="A6" s="5" t="s">
        <v>47</v>
      </c>
      <c r="B6" s="5" t="s">
        <v>48</v>
      </c>
      <c r="C6" s="5" t="s">
        <v>49</v>
      </c>
      <c r="D6" s="5" t="s">
        <v>21</v>
      </c>
      <c r="E6" s="5" t="s">
        <v>50</v>
      </c>
      <c r="F6" s="5" t="s">
        <v>51</v>
      </c>
      <c r="G6" s="5" t="s">
        <v>52</v>
      </c>
      <c r="H6" s="5" t="s">
        <v>53</v>
      </c>
      <c r="I6" s="5" t="n">
        <v>4</v>
      </c>
      <c r="J6" s="5" t="n">
        <v>3</v>
      </c>
      <c r="K6" s="5" t="s">
        <v>54</v>
      </c>
      <c r="L6" s="5" t="s">
        <v>27</v>
      </c>
      <c r="M6" s="5" t="s">
        <v>28</v>
      </c>
    </row>
    <row r="7" customFormat="false" ht="15" hidden="false" customHeight="false" outlineLevel="0" collapsed="false">
      <c r="A7" s="4" t="s">
        <v>55</v>
      </c>
      <c r="B7" s="4" t="s">
        <v>56</v>
      </c>
      <c r="C7" s="4" t="s">
        <v>57</v>
      </c>
      <c r="D7" s="4" t="s">
        <v>21</v>
      </c>
      <c r="E7" s="4" t="s">
        <v>58</v>
      </c>
      <c r="F7" s="4" t="s">
        <v>23</v>
      </c>
      <c r="G7" s="4" t="s">
        <v>59</v>
      </c>
      <c r="H7" s="4" t="s">
        <v>60</v>
      </c>
      <c r="I7" s="4" t="n">
        <v>12</v>
      </c>
      <c r="J7" s="4" t="n">
        <v>7</v>
      </c>
      <c r="K7" s="4" t="s">
        <v>45</v>
      </c>
      <c r="L7" s="4" t="s">
        <v>61</v>
      </c>
      <c r="M7" s="4" t="s">
        <v>28</v>
      </c>
    </row>
    <row r="8" customFormat="false" ht="15" hidden="false" customHeight="false" outlineLevel="0" collapsed="false">
      <c r="A8" s="5" t="s">
        <v>62</v>
      </c>
      <c r="B8" s="5" t="s">
        <v>63</v>
      </c>
      <c r="C8" s="5" t="s">
        <v>64</v>
      </c>
      <c r="D8" s="5" t="s">
        <v>21</v>
      </c>
      <c r="E8" s="5" t="s">
        <v>32</v>
      </c>
      <c r="F8" s="5" t="s">
        <v>43</v>
      </c>
      <c r="G8" s="5" t="s">
        <v>65</v>
      </c>
      <c r="H8" s="5"/>
      <c r="I8" s="5"/>
      <c r="J8" s="5" t="n">
        <v>7</v>
      </c>
      <c r="K8" s="5" t="s">
        <v>66</v>
      </c>
      <c r="L8" s="5" t="s">
        <v>37</v>
      </c>
      <c r="M8" s="5" t="s">
        <v>67</v>
      </c>
    </row>
    <row r="9" customFormat="false" ht="15" hidden="false" customHeight="false" outlineLevel="0" collapsed="false">
      <c r="A9" s="4" t="s">
        <v>68</v>
      </c>
      <c r="B9" s="4" t="s">
        <v>69</v>
      </c>
      <c r="C9" s="4" t="s">
        <v>70</v>
      </c>
      <c r="D9" s="4" t="s">
        <v>41</v>
      </c>
      <c r="E9" s="4" t="s">
        <v>22</v>
      </c>
      <c r="F9" s="4" t="s">
        <v>71</v>
      </c>
      <c r="G9" s="4" t="s">
        <v>24</v>
      </c>
      <c r="H9" s="4" t="s">
        <v>35</v>
      </c>
      <c r="I9" s="4" t="n">
        <v>4</v>
      </c>
      <c r="J9" s="4" t="n">
        <v>5</v>
      </c>
      <c r="K9" s="4" t="s">
        <v>45</v>
      </c>
      <c r="L9" s="4" t="s">
        <v>27</v>
      </c>
      <c r="M9" s="4" t="s">
        <v>28</v>
      </c>
    </row>
    <row r="10" customFormat="false" ht="15" hidden="false" customHeight="false" outlineLevel="0" collapsed="false">
      <c r="A10" s="5" t="s">
        <v>72</v>
      </c>
      <c r="B10" s="5" t="s">
        <v>73</v>
      </c>
      <c r="C10" s="5" t="s">
        <v>74</v>
      </c>
      <c r="D10" s="5" t="s">
        <v>21</v>
      </c>
      <c r="E10" s="5" t="s">
        <v>50</v>
      </c>
      <c r="F10" s="5" t="s">
        <v>43</v>
      </c>
      <c r="G10" s="5" t="s">
        <v>53</v>
      </c>
      <c r="H10" s="5"/>
      <c r="I10" s="5"/>
      <c r="J10" s="5" t="n">
        <v>3</v>
      </c>
      <c r="K10" s="5" t="s">
        <v>26</v>
      </c>
      <c r="L10" s="5" t="s">
        <v>27</v>
      </c>
      <c r="M10" s="5" t="s">
        <v>46</v>
      </c>
    </row>
    <row r="11" customFormat="false" ht="15" hidden="false" customHeight="false" outlineLevel="0" collapsed="false">
      <c r="A11" s="4" t="s">
        <v>75</v>
      </c>
      <c r="B11" s="4" t="s">
        <v>76</v>
      </c>
      <c r="C11" s="4" t="s">
        <v>77</v>
      </c>
      <c r="D11" s="4" t="s">
        <v>41</v>
      </c>
      <c r="E11" s="4" t="s">
        <v>42</v>
      </c>
      <c r="F11" s="4" t="s">
        <v>33</v>
      </c>
      <c r="G11" s="4" t="s">
        <v>78</v>
      </c>
      <c r="H11" s="4" t="s">
        <v>25</v>
      </c>
      <c r="I11" s="4" t="n">
        <v>4</v>
      </c>
      <c r="J11" s="4" t="n">
        <v>3</v>
      </c>
      <c r="K11" s="4" t="s">
        <v>54</v>
      </c>
      <c r="L11" s="4" t="s">
        <v>37</v>
      </c>
      <c r="M11" s="4" t="s">
        <v>28</v>
      </c>
    </row>
    <row r="12" customFormat="false" ht="15" hidden="false" customHeight="false" outlineLevel="0" collapsed="false">
      <c r="A12" s="5" t="s">
        <v>79</v>
      </c>
      <c r="B12" s="5" t="s">
        <v>19</v>
      </c>
      <c r="C12" s="5" t="s">
        <v>80</v>
      </c>
      <c r="D12" s="5" t="s">
        <v>21</v>
      </c>
      <c r="E12" s="5" t="s">
        <v>32</v>
      </c>
      <c r="F12" s="5" t="s">
        <v>51</v>
      </c>
      <c r="G12" s="5" t="s">
        <v>81</v>
      </c>
      <c r="H12" s="5" t="s">
        <v>35</v>
      </c>
      <c r="I12" s="5" t="n">
        <v>10</v>
      </c>
      <c r="J12" s="5" t="n">
        <v>7</v>
      </c>
      <c r="K12" s="5" t="s">
        <v>66</v>
      </c>
      <c r="L12" s="5" t="s">
        <v>61</v>
      </c>
      <c r="M12" s="5" t="s">
        <v>28</v>
      </c>
    </row>
    <row r="13" customFormat="false" ht="15" hidden="false" customHeight="false" outlineLevel="0" collapsed="false">
      <c r="A13" s="4" t="s">
        <v>82</v>
      </c>
      <c r="B13" s="4" t="s">
        <v>39</v>
      </c>
      <c r="C13" s="4" t="s">
        <v>83</v>
      </c>
      <c r="D13" s="4" t="s">
        <v>21</v>
      </c>
      <c r="E13" s="4" t="s">
        <v>58</v>
      </c>
      <c r="F13" s="4" t="s">
        <v>23</v>
      </c>
      <c r="G13" s="4" t="s">
        <v>84</v>
      </c>
      <c r="H13" s="4"/>
      <c r="I13" s="4"/>
      <c r="J13" s="4" t="n">
        <v>7</v>
      </c>
      <c r="K13" s="4" t="s">
        <v>45</v>
      </c>
      <c r="L13" s="4" t="s">
        <v>27</v>
      </c>
      <c r="M13" s="4" t="s">
        <v>46</v>
      </c>
    </row>
    <row r="14" customFormat="false" ht="15" hidden="false" customHeight="false" outlineLevel="0" collapsed="false">
      <c r="A14" s="5" t="s">
        <v>85</v>
      </c>
      <c r="B14" s="5" t="s">
        <v>48</v>
      </c>
      <c r="C14" s="5" t="s">
        <v>86</v>
      </c>
      <c r="D14" s="5" t="s">
        <v>41</v>
      </c>
      <c r="E14" s="5" t="s">
        <v>22</v>
      </c>
      <c r="F14" s="5" t="s">
        <v>71</v>
      </c>
      <c r="G14" s="5" t="s">
        <v>44</v>
      </c>
      <c r="H14" s="5" t="s">
        <v>60</v>
      </c>
      <c r="I14" s="5" t="n">
        <v>4</v>
      </c>
      <c r="J14" s="5" t="n">
        <v>5</v>
      </c>
      <c r="K14" s="5" t="s">
        <v>26</v>
      </c>
      <c r="L14" s="5" t="s">
        <v>27</v>
      </c>
      <c r="M14" s="5" t="s">
        <v>28</v>
      </c>
    </row>
    <row r="15" customFormat="false" ht="15" hidden="false" customHeight="false" outlineLevel="0" collapsed="false">
      <c r="A15" s="4" t="s">
        <v>87</v>
      </c>
      <c r="B15" s="4" t="s">
        <v>30</v>
      </c>
      <c r="C15" s="4" t="s">
        <v>88</v>
      </c>
      <c r="D15" s="4" t="s">
        <v>21</v>
      </c>
      <c r="E15" s="4" t="s">
        <v>32</v>
      </c>
      <c r="F15" s="4" t="s">
        <v>23</v>
      </c>
      <c r="G15" s="4" t="s">
        <v>89</v>
      </c>
      <c r="H15" s="4" t="s">
        <v>25</v>
      </c>
      <c r="I15" s="4" t="n">
        <v>11</v>
      </c>
      <c r="J15" s="4" t="n">
        <v>7</v>
      </c>
      <c r="K15" s="4" t="s">
        <v>45</v>
      </c>
      <c r="L15" s="4" t="s">
        <v>37</v>
      </c>
      <c r="M15" s="4" t="s">
        <v>28</v>
      </c>
    </row>
    <row r="16" customFormat="false" ht="15" hidden="false" customHeight="false" outlineLevel="0" collapsed="false">
      <c r="A16" s="5" t="s">
        <v>90</v>
      </c>
      <c r="B16" s="5" t="s">
        <v>56</v>
      </c>
      <c r="C16" s="5" t="s">
        <v>91</v>
      </c>
      <c r="D16" s="5" t="s">
        <v>21</v>
      </c>
      <c r="E16" s="5" t="s">
        <v>50</v>
      </c>
      <c r="F16" s="5" t="s">
        <v>43</v>
      </c>
      <c r="G16" s="5" t="s">
        <v>24</v>
      </c>
      <c r="H16" s="5" t="s">
        <v>25</v>
      </c>
      <c r="I16" s="5" t="n">
        <v>3</v>
      </c>
      <c r="J16" s="5" t="n">
        <v>3</v>
      </c>
      <c r="K16" s="5" t="s">
        <v>54</v>
      </c>
      <c r="L16" s="5" t="s">
        <v>27</v>
      </c>
      <c r="M16" s="5" t="s">
        <v>28</v>
      </c>
    </row>
    <row r="17" customFormat="false" ht="15" hidden="false" customHeight="false" outlineLevel="0" collapsed="false">
      <c r="A17" s="4" t="s">
        <v>92</v>
      </c>
      <c r="B17" s="4" t="s">
        <v>69</v>
      </c>
      <c r="C17" s="4" t="s">
        <v>93</v>
      </c>
      <c r="D17" s="4" t="s">
        <v>41</v>
      </c>
      <c r="E17" s="4" t="s">
        <v>42</v>
      </c>
      <c r="F17" s="4" t="s">
        <v>33</v>
      </c>
      <c r="G17" s="4" t="s">
        <v>65</v>
      </c>
      <c r="H17" s="4" t="s">
        <v>24</v>
      </c>
      <c r="I17" s="4" t="n">
        <v>3</v>
      </c>
      <c r="J17" s="4" t="n">
        <v>3</v>
      </c>
      <c r="K17" s="4" t="s">
        <v>45</v>
      </c>
      <c r="L17" s="4" t="s">
        <v>27</v>
      </c>
      <c r="M17" s="4" t="s">
        <v>28</v>
      </c>
    </row>
    <row r="18" customFormat="false" ht="15" hidden="false" customHeight="false" outlineLevel="0" collapsed="false">
      <c r="A18" s="5" t="s">
        <v>94</v>
      </c>
      <c r="B18" s="5" t="s">
        <v>73</v>
      </c>
      <c r="C18" s="5" t="s">
        <v>95</v>
      </c>
      <c r="D18" s="5" t="s">
        <v>21</v>
      </c>
      <c r="E18" s="5" t="s">
        <v>32</v>
      </c>
      <c r="F18" s="5" t="s">
        <v>51</v>
      </c>
      <c r="G18" s="5" t="s">
        <v>96</v>
      </c>
      <c r="H18" s="5" t="s">
        <v>35</v>
      </c>
      <c r="I18" s="5" t="n">
        <v>14</v>
      </c>
      <c r="J18" s="5" t="n">
        <v>7</v>
      </c>
      <c r="K18" s="5" t="s">
        <v>26</v>
      </c>
      <c r="L18" s="5" t="s">
        <v>61</v>
      </c>
      <c r="M18" s="5" t="s">
        <v>28</v>
      </c>
    </row>
    <row r="19" customFormat="false" ht="15" hidden="false" customHeight="false" outlineLevel="0" collapsed="false">
      <c r="A19" s="4" t="s">
        <v>97</v>
      </c>
      <c r="B19" s="4" t="s">
        <v>63</v>
      </c>
      <c r="C19" s="4" t="s">
        <v>98</v>
      </c>
      <c r="D19" s="4" t="s">
        <v>21</v>
      </c>
      <c r="E19" s="4" t="s">
        <v>58</v>
      </c>
      <c r="F19" s="4" t="s">
        <v>23</v>
      </c>
      <c r="G19" s="4" t="s">
        <v>53</v>
      </c>
      <c r="H19" s="4"/>
      <c r="I19" s="4"/>
      <c r="J19" s="4" t="n">
        <v>7</v>
      </c>
      <c r="K19" s="4" t="s">
        <v>66</v>
      </c>
      <c r="L19" s="4" t="s">
        <v>37</v>
      </c>
      <c r="M19" s="4" t="s">
        <v>67</v>
      </c>
    </row>
    <row r="20" customFormat="false" ht="15" hidden="false" customHeight="false" outlineLevel="0" collapsed="false">
      <c r="A20" s="5" t="s">
        <v>99</v>
      </c>
      <c r="B20" s="5" t="s">
        <v>76</v>
      </c>
      <c r="C20" s="5" t="s">
        <v>100</v>
      </c>
      <c r="D20" s="5" t="s">
        <v>21</v>
      </c>
      <c r="E20" s="5" t="s">
        <v>22</v>
      </c>
      <c r="F20" s="5" t="s">
        <v>71</v>
      </c>
      <c r="G20" s="5" t="s">
        <v>52</v>
      </c>
      <c r="H20" s="5" t="s">
        <v>53</v>
      </c>
      <c r="I20" s="5" t="n">
        <v>4</v>
      </c>
      <c r="J20" s="5" t="n">
        <v>5</v>
      </c>
      <c r="K20" s="5" t="s">
        <v>45</v>
      </c>
      <c r="L20" s="5" t="s">
        <v>27</v>
      </c>
      <c r="M20" s="5" t="s">
        <v>28</v>
      </c>
    </row>
    <row r="21" customFormat="false" ht="15" hidden="false" customHeight="false" outlineLevel="0" collapsed="false">
      <c r="A21" s="4" t="s">
        <v>101</v>
      </c>
      <c r="B21" s="4" t="s">
        <v>19</v>
      </c>
      <c r="C21" s="4" t="s">
        <v>102</v>
      </c>
      <c r="D21" s="4" t="s">
        <v>41</v>
      </c>
      <c r="E21" s="4" t="s">
        <v>50</v>
      </c>
      <c r="F21" s="4" t="s">
        <v>23</v>
      </c>
      <c r="G21" s="4" t="s">
        <v>44</v>
      </c>
      <c r="H21" s="4"/>
      <c r="I21" s="4"/>
      <c r="J21" s="4" t="n">
        <v>3</v>
      </c>
      <c r="K21" s="4" t="s">
        <v>26</v>
      </c>
      <c r="L21" s="4" t="s">
        <v>27</v>
      </c>
      <c r="M21" s="4" t="s">
        <v>46</v>
      </c>
    </row>
    <row r="22" customFormat="false" ht="15" hidden="false" customHeight="false" outlineLevel="0" collapsed="false">
      <c r="A22" s="5" t="s">
        <v>103</v>
      </c>
      <c r="B22" s="5" t="s">
        <v>48</v>
      </c>
      <c r="C22" s="5" t="s">
        <v>104</v>
      </c>
      <c r="D22" s="5" t="s">
        <v>21</v>
      </c>
      <c r="E22" s="5" t="s">
        <v>42</v>
      </c>
      <c r="F22" s="5" t="s">
        <v>33</v>
      </c>
      <c r="G22" s="5" t="s">
        <v>34</v>
      </c>
      <c r="H22" s="5" t="s">
        <v>44</v>
      </c>
      <c r="I22" s="5" t="n">
        <v>5</v>
      </c>
      <c r="J22" s="5" t="n">
        <v>3</v>
      </c>
      <c r="K22" s="5" t="s">
        <v>54</v>
      </c>
      <c r="L22" s="5" t="s">
        <v>27</v>
      </c>
      <c r="M22" s="5" t="s">
        <v>28</v>
      </c>
    </row>
    <row r="23" customFormat="false" ht="15" hidden="false" customHeight="false" outlineLevel="0" collapsed="false">
      <c r="A23" s="4" t="s">
        <v>105</v>
      </c>
      <c r="B23" s="4" t="s">
        <v>30</v>
      </c>
      <c r="C23" s="4" t="s">
        <v>106</v>
      </c>
      <c r="D23" s="4" t="s">
        <v>41</v>
      </c>
      <c r="E23" s="4" t="s">
        <v>32</v>
      </c>
      <c r="F23" s="4" t="s">
        <v>43</v>
      </c>
      <c r="G23" s="4" t="s">
        <v>107</v>
      </c>
      <c r="H23" s="4" t="s">
        <v>35</v>
      </c>
      <c r="I23" s="4" t="n">
        <v>16</v>
      </c>
      <c r="J23" s="4" t="n">
        <v>7</v>
      </c>
      <c r="K23" s="4" t="s">
        <v>66</v>
      </c>
      <c r="L23" s="4" t="s">
        <v>61</v>
      </c>
      <c r="M23" s="4" t="s">
        <v>28</v>
      </c>
    </row>
    <row r="24" customFormat="false" ht="15" hidden="false" customHeight="false" outlineLevel="0" collapsed="false">
      <c r="A24" s="5" t="s">
        <v>108</v>
      </c>
      <c r="B24" s="5" t="s">
        <v>56</v>
      </c>
      <c r="C24" s="5" t="s">
        <v>109</v>
      </c>
      <c r="D24" s="5" t="s">
        <v>21</v>
      </c>
      <c r="E24" s="5" t="s">
        <v>22</v>
      </c>
      <c r="F24" s="5" t="s">
        <v>51</v>
      </c>
      <c r="G24" s="5" t="s">
        <v>78</v>
      </c>
      <c r="H24" s="5" t="s">
        <v>25</v>
      </c>
      <c r="I24" s="5" t="n">
        <v>4</v>
      </c>
      <c r="J24" s="5" t="n">
        <v>5</v>
      </c>
      <c r="K24" s="5" t="s">
        <v>45</v>
      </c>
      <c r="L24" s="5" t="s">
        <v>27</v>
      </c>
      <c r="M24" s="5" t="s">
        <v>28</v>
      </c>
    </row>
    <row r="25" customFormat="false" ht="15" hidden="false" customHeight="false" outlineLevel="0" collapsed="false">
      <c r="A25" s="4" t="s">
        <v>110</v>
      </c>
      <c r="B25" s="4" t="s">
        <v>39</v>
      </c>
      <c r="C25" s="4" t="s">
        <v>111</v>
      </c>
      <c r="D25" s="4" t="s">
        <v>21</v>
      </c>
      <c r="E25" s="4" t="s">
        <v>58</v>
      </c>
      <c r="F25" s="4" t="s">
        <v>23</v>
      </c>
      <c r="G25" s="4" t="s">
        <v>24</v>
      </c>
      <c r="H25" s="4"/>
      <c r="I25" s="4"/>
      <c r="J25" s="4" t="n">
        <v>7</v>
      </c>
      <c r="K25" s="4" t="s">
        <v>26</v>
      </c>
      <c r="L25" s="4" t="s">
        <v>37</v>
      </c>
      <c r="M25" s="4" t="s">
        <v>46</v>
      </c>
    </row>
    <row r="26" customFormat="false" ht="15" hidden="false" customHeight="false" outlineLevel="0" collapsed="false">
      <c r="A26" s="5" t="s">
        <v>112</v>
      </c>
      <c r="B26" s="5" t="s">
        <v>69</v>
      </c>
      <c r="C26" s="5" t="s">
        <v>113</v>
      </c>
      <c r="D26" s="5" t="s">
        <v>21</v>
      </c>
      <c r="E26" s="5" t="s">
        <v>32</v>
      </c>
      <c r="F26" s="5" t="s">
        <v>71</v>
      </c>
      <c r="G26" s="5" t="s">
        <v>84</v>
      </c>
      <c r="H26" s="5" t="s">
        <v>25</v>
      </c>
      <c r="I26" s="5" t="n">
        <v>8</v>
      </c>
      <c r="J26" s="5" t="n">
        <v>7</v>
      </c>
      <c r="K26" s="5" t="s">
        <v>54</v>
      </c>
      <c r="L26" s="5" t="s">
        <v>37</v>
      </c>
      <c r="M26" s="5" t="s">
        <v>28</v>
      </c>
    </row>
    <row r="27" customFormat="false" ht="15" hidden="false" customHeight="false" outlineLevel="0" collapsed="false">
      <c r="A27" s="4" t="s">
        <v>114</v>
      </c>
      <c r="B27" s="4" t="s">
        <v>73</v>
      </c>
      <c r="C27" s="4" t="s">
        <v>115</v>
      </c>
      <c r="D27" s="4" t="s">
        <v>21</v>
      </c>
      <c r="E27" s="4" t="s">
        <v>50</v>
      </c>
      <c r="F27" s="4" t="s">
        <v>23</v>
      </c>
      <c r="G27" s="4" t="s">
        <v>53</v>
      </c>
      <c r="H27" s="4" t="s">
        <v>60</v>
      </c>
      <c r="I27" s="4" t="n">
        <v>3</v>
      </c>
      <c r="J27" s="4" t="n">
        <v>3</v>
      </c>
      <c r="K27" s="4" t="s">
        <v>45</v>
      </c>
      <c r="L27" s="4" t="s">
        <v>27</v>
      </c>
      <c r="M27" s="4" t="s">
        <v>28</v>
      </c>
    </row>
    <row r="28" customFormat="false" ht="24" hidden="false" customHeight="true" outlineLevel="0" collapsed="false">
      <c r="A28" s="6" t="s">
        <v>116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</sheetData>
  <mergeCells count="2">
    <mergeCell ref="A1:Q1"/>
    <mergeCell ref="A28:Q2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4"/>
  </cols>
  <sheetData>
    <row r="1" customFormat="false" ht="21.75" hidden="false" customHeight="true" outlineLevel="0" collapsed="false">
      <c r="A1" s="7" t="s">
        <v>117</v>
      </c>
      <c r="B1" s="7"/>
      <c r="C1" s="7"/>
      <c r="D1" s="7"/>
      <c r="E1" s="7"/>
    </row>
    <row r="2" customFormat="false" ht="15" hidden="false" customHeight="false" outlineLevel="0" collapsed="false">
      <c r="A2" s="8" t="s">
        <v>5</v>
      </c>
      <c r="B2" s="8" t="s">
        <v>28</v>
      </c>
      <c r="C2" s="8" t="s">
        <v>46</v>
      </c>
      <c r="D2" s="8" t="s">
        <v>67</v>
      </c>
      <c r="E2" s="8" t="s">
        <v>118</v>
      </c>
    </row>
    <row r="3" customFormat="false" ht="15" hidden="false" customHeight="false" outlineLevel="0" collapsed="false">
      <c r="A3" s="4" t="s">
        <v>22</v>
      </c>
      <c r="B3" s="9" t="n">
        <v>5</v>
      </c>
      <c r="C3" s="9" t="n">
        <v>0</v>
      </c>
      <c r="D3" s="9" t="n">
        <v>0</v>
      </c>
      <c r="E3" s="9" t="n">
        <f aca="false">B3+C3+D3</f>
        <v>5</v>
      </c>
    </row>
    <row r="4" customFormat="false" ht="15" hidden="false" customHeight="false" outlineLevel="0" collapsed="false">
      <c r="A4" s="5" t="s">
        <v>32</v>
      </c>
      <c r="B4" s="10" t="n">
        <v>6</v>
      </c>
      <c r="C4" s="10" t="n">
        <v>0</v>
      </c>
      <c r="D4" s="10" t="n">
        <v>1</v>
      </c>
      <c r="E4" s="10" t="n">
        <f aca="false">B4+C4+D4</f>
        <v>7</v>
      </c>
    </row>
    <row r="5" customFormat="false" ht="15" hidden="false" customHeight="false" outlineLevel="0" collapsed="false">
      <c r="A5" s="4" t="s">
        <v>50</v>
      </c>
      <c r="B5" s="9" t="n">
        <v>3</v>
      </c>
      <c r="C5" s="9" t="n">
        <v>2</v>
      </c>
      <c r="D5" s="9" t="n">
        <v>0</v>
      </c>
      <c r="E5" s="9" t="n">
        <f aca="false">B5+C5+D5</f>
        <v>5</v>
      </c>
    </row>
    <row r="6" customFormat="false" ht="15" hidden="false" customHeight="false" outlineLevel="0" collapsed="false">
      <c r="A6" s="5" t="s">
        <v>42</v>
      </c>
      <c r="B6" s="10" t="n">
        <v>3</v>
      </c>
      <c r="C6" s="10" t="n">
        <v>0</v>
      </c>
      <c r="D6" s="10" t="n">
        <v>0</v>
      </c>
      <c r="E6" s="10" t="n">
        <f aca="false">B6+C6+D6</f>
        <v>3</v>
      </c>
    </row>
    <row r="7" customFormat="false" ht="15" hidden="false" customHeight="false" outlineLevel="0" collapsed="false">
      <c r="A7" s="4" t="s">
        <v>58</v>
      </c>
      <c r="B7" s="9" t="n">
        <v>1</v>
      </c>
      <c r="C7" s="9" t="n">
        <v>2</v>
      </c>
      <c r="D7" s="9" t="n">
        <v>1</v>
      </c>
      <c r="E7" s="9" t="n">
        <f aca="false">B7+C7+D7</f>
        <v>4</v>
      </c>
    </row>
    <row r="8" customFormat="false" ht="15" hidden="false" customHeight="false" outlineLevel="0" collapsed="false">
      <c r="A8" s="11" t="s">
        <v>119</v>
      </c>
      <c r="B8" s="12" t="n">
        <f aca="false">SUM(B3:B7)</f>
        <v>18</v>
      </c>
      <c r="C8" s="12" t="n">
        <f aca="false">SUM(C3:C7)</f>
        <v>4</v>
      </c>
      <c r="D8" s="12" t="n">
        <f aca="false">SUM(D3:D7)</f>
        <v>2</v>
      </c>
      <c r="E8" s="12" t="n">
        <f aca="false">SUM(E3:E7)</f>
        <v>24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3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13"/>
    <col collapsed="false" customWidth="true" hidden="false" outlineLevel="0" max="6" min="6" style="0" width="12"/>
    <col collapsed="false" customWidth="true" hidden="false" outlineLevel="0" max="7" min="7" style="0" width="13"/>
  </cols>
  <sheetData>
    <row r="1" customFormat="false" ht="21.75" hidden="false" customHeight="true" outlineLevel="0" collapsed="false">
      <c r="A1" s="7" t="s">
        <v>120</v>
      </c>
      <c r="B1" s="7"/>
      <c r="C1" s="7"/>
      <c r="D1" s="7"/>
      <c r="E1" s="7"/>
      <c r="F1" s="7"/>
      <c r="G1" s="7"/>
    </row>
    <row r="2" customFormat="false" ht="15" hidden="false" customHeight="false" outlineLevel="0" collapsed="false">
      <c r="A2" s="8" t="s">
        <v>6</v>
      </c>
      <c r="B2" s="8" t="s">
        <v>22</v>
      </c>
      <c r="C2" s="8" t="s">
        <v>32</v>
      </c>
      <c r="D2" s="8" t="s">
        <v>50</v>
      </c>
      <c r="E2" s="8" t="s">
        <v>42</v>
      </c>
      <c r="F2" s="8" t="s">
        <v>58</v>
      </c>
      <c r="G2" s="8" t="s">
        <v>121</v>
      </c>
    </row>
    <row r="3" customFormat="false" ht="15" hidden="false" customHeight="false" outlineLevel="0" collapsed="false">
      <c r="A3" s="4" t="s">
        <v>23</v>
      </c>
      <c r="B3" s="9" t="n">
        <v>3</v>
      </c>
      <c r="C3" s="9" t="n">
        <v>10</v>
      </c>
      <c r="D3" s="9" t="n">
        <v>3</v>
      </c>
      <c r="E3" s="9" t="s">
        <v>122</v>
      </c>
      <c r="F3" s="9" t="n">
        <v>12</v>
      </c>
      <c r="G3" s="9" t="s">
        <v>123</v>
      </c>
    </row>
    <row r="4" customFormat="false" ht="15" hidden="false" customHeight="false" outlineLevel="0" collapsed="false">
      <c r="A4" s="5" t="s">
        <v>33</v>
      </c>
      <c r="B4" s="10" t="s">
        <v>122</v>
      </c>
      <c r="C4" s="10" t="n">
        <v>8</v>
      </c>
      <c r="D4" s="10" t="s">
        <v>122</v>
      </c>
      <c r="E4" s="10" t="n">
        <v>4</v>
      </c>
      <c r="F4" s="10" t="s">
        <v>122</v>
      </c>
      <c r="G4" s="10" t="s">
        <v>124</v>
      </c>
    </row>
    <row r="5" customFormat="false" ht="15" hidden="false" customHeight="false" outlineLevel="0" collapsed="false">
      <c r="A5" s="4" t="s">
        <v>43</v>
      </c>
      <c r="B5" s="9" t="s">
        <v>122</v>
      </c>
      <c r="C5" s="9" t="n">
        <v>16</v>
      </c>
      <c r="D5" s="9" t="n">
        <v>3</v>
      </c>
      <c r="E5" s="9" t="s">
        <v>122</v>
      </c>
      <c r="F5" s="9" t="s">
        <v>122</v>
      </c>
      <c r="G5" s="9" t="s">
        <v>125</v>
      </c>
    </row>
    <row r="6" customFormat="false" ht="15" hidden="false" customHeight="false" outlineLevel="0" collapsed="false">
      <c r="A6" s="5" t="s">
        <v>51</v>
      </c>
      <c r="B6" s="10" t="s">
        <v>122</v>
      </c>
      <c r="C6" s="10" t="n">
        <v>12</v>
      </c>
      <c r="D6" s="10" t="n">
        <v>4</v>
      </c>
      <c r="E6" s="10" t="s">
        <v>122</v>
      </c>
      <c r="F6" s="10" t="s">
        <v>122</v>
      </c>
      <c r="G6" s="10" t="s">
        <v>126</v>
      </c>
    </row>
    <row r="7" customFormat="false" ht="15" hidden="false" customHeight="false" outlineLevel="0" collapsed="false">
      <c r="A7" s="4" t="s">
        <v>71</v>
      </c>
      <c r="B7" s="9" t="n">
        <v>4</v>
      </c>
      <c r="C7" s="9" t="s">
        <v>122</v>
      </c>
      <c r="D7" s="9" t="s">
        <v>122</v>
      </c>
      <c r="E7" s="9" t="n">
        <v>3</v>
      </c>
      <c r="F7" s="9" t="s">
        <v>122</v>
      </c>
      <c r="G7" s="9" t="s">
        <v>127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3" min="2" style="0" width="10"/>
    <col collapsed="false" customWidth="true" hidden="false" outlineLevel="0" max="4" min="4" style="0" width="16"/>
  </cols>
  <sheetData>
    <row r="1" customFormat="false" ht="21.75" hidden="false" customHeight="true" outlineLevel="0" collapsed="false">
      <c r="A1" s="7" t="s">
        <v>128</v>
      </c>
      <c r="B1" s="7"/>
      <c r="C1" s="7"/>
      <c r="D1" s="7"/>
    </row>
    <row r="2" customFormat="false" ht="15" hidden="false" customHeight="false" outlineLevel="0" collapsed="false">
      <c r="A2" s="8" t="s">
        <v>5</v>
      </c>
      <c r="B2" s="8" t="s">
        <v>21</v>
      </c>
      <c r="C2" s="8" t="s">
        <v>41</v>
      </c>
      <c r="D2" s="8" t="s">
        <v>129</v>
      </c>
    </row>
    <row r="3" customFormat="false" ht="15" hidden="false" customHeight="false" outlineLevel="0" collapsed="false">
      <c r="A3" s="4" t="s">
        <v>22</v>
      </c>
      <c r="B3" s="9" t="n">
        <v>0</v>
      </c>
      <c r="C3" s="9" t="n">
        <v>0</v>
      </c>
      <c r="D3" s="9" t="n">
        <v>0</v>
      </c>
    </row>
    <row r="4" customFormat="false" ht="15" hidden="false" customHeight="false" outlineLevel="0" collapsed="false">
      <c r="A4" s="5" t="s">
        <v>32</v>
      </c>
      <c r="B4" s="10" t="n">
        <v>5</v>
      </c>
      <c r="C4" s="10" t="n">
        <v>1</v>
      </c>
      <c r="D4" s="10" t="n">
        <v>6</v>
      </c>
    </row>
    <row r="5" customFormat="false" ht="15" hidden="false" customHeight="false" outlineLevel="0" collapsed="false">
      <c r="A5" s="4" t="s">
        <v>50</v>
      </c>
      <c r="B5" s="9" t="n">
        <v>0</v>
      </c>
      <c r="C5" s="9" t="n">
        <v>0</v>
      </c>
      <c r="D5" s="9" t="n">
        <v>0</v>
      </c>
    </row>
    <row r="6" customFormat="false" ht="15" hidden="false" customHeight="false" outlineLevel="0" collapsed="false">
      <c r="A6" s="5" t="s">
        <v>42</v>
      </c>
      <c r="B6" s="10" t="n">
        <v>1</v>
      </c>
      <c r="C6" s="10" t="n">
        <v>0</v>
      </c>
      <c r="D6" s="10" t="n">
        <v>1</v>
      </c>
    </row>
    <row r="7" customFormat="false" ht="15" hidden="false" customHeight="false" outlineLevel="0" collapsed="false">
      <c r="A7" s="4" t="s">
        <v>58</v>
      </c>
      <c r="B7" s="9" t="n">
        <v>1</v>
      </c>
      <c r="C7" s="9" t="n">
        <v>0</v>
      </c>
      <c r="D7" s="9" t="n">
        <v>1</v>
      </c>
    </row>
    <row r="8" customFormat="false" ht="15" hidden="false" customHeight="false" outlineLevel="0" collapsed="false">
      <c r="A8" s="11" t="s">
        <v>119</v>
      </c>
      <c r="B8" s="12" t="n">
        <f aca="false">SUM(B3:B7)</f>
        <v>7</v>
      </c>
      <c r="C8" s="12" t="n">
        <f aca="false">SUM(C3:C7)</f>
        <v>1</v>
      </c>
      <c r="D8" s="12" t="n">
        <f aca="false">SUM(D3:D7)</f>
        <v>8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2026-07-01T08:44:52Z</dcterms:created>
  <dc:creator>openpyxl</dc:creator>
  <dc:description/>
  <dc:language>en-US</dc:language>
  <cp:lastModifiedBy/>
  <dcterms:modified xsi:type="dcterms:W3CDTF">2026-07-01T08:44:52Z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