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ndidate Pipeline" sheetId="2" state="visible" r:id="rId4"/>
    <sheet name="TAT &amp; SLA Dashboard" sheetId="3" state="visible" r:id="rId5"/>
    <sheet name="Source Effectiveness" sheetId="4" state="visible" r:id="rId6"/>
    <sheet name="Offer &amp; Joining Tracker" sheetId="5" state="visible" r:id="rId7"/>
    <sheet name="JD &amp; Interview Ban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<sst xmlns="http://schemas.openxmlformats.org/spreadsheetml/2006/main" count="491" uniqueCount="270">
  <si>
    <t xml:space="preserve">📁 Talent Acquisition Copilot Training Dataset | Technizer Edge | FY2025-26</t>
  </si>
  <si>
    <t xml:space="preserve">This dataset is designed for M365 Copilot Chat demos — upload to OneDrive and reference using / in Copilot Chat</t>
  </si>
  <si>
    <t xml:space="preserve">Sheet Name</t>
  </si>
  <si>
    <t xml:space="preserve">Contents</t>
  </si>
  <si>
    <t xml:space="preserve">Demo Stage</t>
  </si>
  <si>
    <t xml:space="preserve">Copilot Outcome Showcased</t>
  </si>
  <si>
    <t xml:space="preserve">Candidate Pipeline</t>
  </si>
  <si>
    <t xml:space="preserve">15 open reqs with stage-wise funnel data</t>
  </si>
  <si>
    <t xml:space="preserve">Stage 1</t>
  </si>
  <si>
    <t xml:space="preserve">Pipeline summary, stage analysis, risk flags</t>
  </si>
  <si>
    <t xml:space="preserve">TAT &amp; SLA Dashboard</t>
  </si>
  <si>
    <t xml:space="preserve">Hiring TAT by BU vs SLA targets + breach reasons</t>
  </si>
  <si>
    <t xml:space="preserve">Stage 2</t>
  </si>
  <si>
    <t xml:space="preserve">SLA breach analysis, delay root causes</t>
  </si>
  <si>
    <t xml:space="preserve">Source Effectiveness</t>
  </si>
  <si>
    <t xml:space="preserve">10 sourcing channels with conversion &amp; cost data</t>
  </si>
  <si>
    <t xml:space="preserve">Stage 3</t>
  </si>
  <si>
    <t xml:space="preserve">Best-performing channels, cost optimisation</t>
  </si>
  <si>
    <t xml:space="preserve">Offer &amp; Joining Tracker</t>
  </si>
  <si>
    <t xml:space="preserve">15 candidates — offer, DOJ, drop reasons</t>
  </si>
  <si>
    <t xml:space="preserve">Stage 4</t>
  </si>
  <si>
    <t xml:space="preserve">Offer-to-join analysis, drop reason themes</t>
  </si>
  <si>
    <t xml:space="preserve">JD &amp; Interview Bank</t>
  </si>
  <si>
    <t xml:space="preserve">JD repository status + question bank index</t>
  </si>
  <si>
    <t xml:space="preserve">Stage 5</t>
  </si>
  <si>
    <t xml:space="preserve">JD gaps, Copilot prompt adoption tracking</t>
  </si>
  <si>
    <t xml:space="preserve">🎯 Candidate Pipeline Tracker — Q1 FY2025-26 | Bajaj Finance Limited</t>
  </si>
  <si>
    <t xml:space="preserve">Req ID</t>
  </si>
  <si>
    <t xml:space="preserve">Role</t>
  </si>
  <si>
    <t xml:space="preserve">Business Unit</t>
  </si>
  <si>
    <t xml:space="preserve">Location</t>
  </si>
  <si>
    <t xml:space="preserve">JD Status</t>
  </si>
  <si>
    <t xml:space="preserve">Applied</t>
  </si>
  <si>
    <t xml:space="preserve">Screened</t>
  </si>
  <si>
    <t xml:space="preserve">Interview Stage</t>
  </si>
  <si>
    <t xml:space="preserve">Offers Made</t>
  </si>
  <si>
    <t xml:space="preserve">Offers Accepted</t>
  </si>
  <si>
    <t xml:space="preserve">TAT (Days)</t>
  </si>
  <si>
    <t xml:space="preserve">Status</t>
  </si>
  <si>
    <t xml:space="preserve">REQ-1001</t>
  </si>
  <si>
    <t xml:space="preserve">Senior Credit Analyst</t>
  </si>
  <si>
    <t xml:space="preserve">Retail Lending</t>
  </si>
  <si>
    <t xml:space="preserve">Mumbai</t>
  </si>
  <si>
    <t xml:space="preserve">Live</t>
  </si>
  <si>
    <t xml:space="preserve">Final Round</t>
  </si>
  <si>
    <t xml:space="preserve">Active</t>
  </si>
  <si>
    <t xml:space="preserve">REQ-1002</t>
  </si>
  <si>
    <t xml:space="preserve">Branch Manager</t>
  </si>
  <si>
    <t xml:space="preserve">Sales &amp; Distribution</t>
  </si>
  <si>
    <t xml:space="preserve">Pune</t>
  </si>
  <si>
    <t xml:space="preserve">HR Round</t>
  </si>
  <si>
    <t xml:space="preserve">Closed</t>
  </si>
  <si>
    <t xml:space="preserve">REQ-1003</t>
  </si>
  <si>
    <t xml:space="preserve">Data Scientist</t>
  </si>
  <si>
    <t xml:space="preserve">Risk Analytics</t>
  </si>
  <si>
    <t xml:space="preserve">Bengaluru</t>
  </si>
  <si>
    <t xml:space="preserve">Technical</t>
  </si>
  <si>
    <t xml:space="preserve">REQ-1004</t>
  </si>
  <si>
    <t xml:space="preserve">Relationship Manager</t>
  </si>
  <si>
    <t xml:space="preserve">Wealth Mgmt</t>
  </si>
  <si>
    <t xml:space="preserve">Delhi</t>
  </si>
  <si>
    <t xml:space="preserve">Offer Stage</t>
  </si>
  <si>
    <t xml:space="preserve">REQ-1005</t>
  </si>
  <si>
    <t xml:space="preserve">Compliance Officer</t>
  </si>
  <si>
    <t xml:space="preserve">Legal &amp; Compliance</t>
  </si>
  <si>
    <t xml:space="preserve">L1 Interview</t>
  </si>
  <si>
    <t xml:space="preserve">On Hold</t>
  </si>
  <si>
    <t xml:space="preserve">REQ-1006</t>
  </si>
  <si>
    <t xml:space="preserve">Product Manager – App</t>
  </si>
  <si>
    <t xml:space="preserve">Digital</t>
  </si>
  <si>
    <t xml:space="preserve">REQ-1007</t>
  </si>
  <si>
    <t xml:space="preserve">Collections Executive</t>
  </si>
  <si>
    <t xml:space="preserve">Collections</t>
  </si>
  <si>
    <t xml:space="preserve">Hyderabad</t>
  </si>
  <si>
    <t xml:space="preserve">REQ-1008</t>
  </si>
  <si>
    <t xml:space="preserve">IT Security Analyst</t>
  </si>
  <si>
    <t xml:space="preserve">Technology</t>
  </si>
  <si>
    <t xml:space="preserve">Draft</t>
  </si>
  <si>
    <t xml:space="preserve">Not Started</t>
  </si>
  <si>
    <t xml:space="preserve">REQ-1009</t>
  </si>
  <si>
    <t xml:space="preserve">Learning Specialist</t>
  </si>
  <si>
    <t xml:space="preserve">L&amp;D</t>
  </si>
  <si>
    <t xml:space="preserve">REQ-1010</t>
  </si>
  <si>
    <t xml:space="preserve">Treasury Manager</t>
  </si>
  <si>
    <t xml:space="preserve">Finance</t>
  </si>
  <si>
    <t xml:space="preserve">REQ-1011</t>
  </si>
  <si>
    <t xml:space="preserve">Customer Success Exec</t>
  </si>
  <si>
    <t xml:space="preserve">CX</t>
  </si>
  <si>
    <t xml:space="preserve">Chennai</t>
  </si>
  <si>
    <t xml:space="preserve">REQ-1012</t>
  </si>
  <si>
    <t xml:space="preserve">Audit Executive</t>
  </si>
  <si>
    <t xml:space="preserve">Internal Audit</t>
  </si>
  <si>
    <t xml:space="preserve">REQ-1013</t>
  </si>
  <si>
    <t xml:space="preserve">Field Sales Officer</t>
  </si>
  <si>
    <t xml:space="preserve">Nashik</t>
  </si>
  <si>
    <t xml:space="preserve">REQ-1014</t>
  </si>
  <si>
    <t xml:space="preserve">UI/UX Designer</t>
  </si>
  <si>
    <t xml:space="preserve">REQ-1015</t>
  </si>
  <si>
    <t xml:space="preserve">Finance Controller</t>
  </si>
  <si>
    <t xml:space="preserve">PIPELINE TOTALS</t>
  </si>
  <si>
    <t xml:space="preserve">⏱️ Hiring TAT &amp; SLA Compliance Dashboard — FY2025-26 | All BUs</t>
  </si>
  <si>
    <t xml:space="preserve">Open Reqs</t>
  </si>
  <si>
    <t xml:space="preserve">Avg TAT (Days)</t>
  </si>
  <si>
    <t xml:space="preserve">SLA Target (Days)</t>
  </si>
  <si>
    <t xml:space="preserve">SLA % Met</t>
  </si>
  <si>
    <t xml:space="preserve">Breached Reqs</t>
  </si>
  <si>
    <t xml:space="preserve">Top Delay Reason</t>
  </si>
  <si>
    <t xml:space="preserve">Action Owner</t>
  </si>
  <si>
    <t xml:space="preserve">67%</t>
  </si>
  <si>
    <t xml:space="preserve">Interview no-shows</t>
  </si>
  <si>
    <t xml:space="preserve">TA Lead - Mumbai</t>
  </si>
  <si>
    <t xml:space="preserve">89%</t>
  </si>
  <si>
    <t xml:space="preserve">High volume intake</t>
  </si>
  <si>
    <t xml:space="preserve">TA Lead - Field</t>
  </si>
  <si>
    <t xml:space="preserve">Digital &amp; Technology</t>
  </si>
  <si>
    <t xml:space="preserve">56%</t>
  </si>
  <si>
    <t xml:space="preserve">Technical panel availability</t>
  </si>
  <si>
    <t xml:space="preserve">TA Lead - Tech</t>
  </si>
  <si>
    <t xml:space="preserve">50%</t>
  </si>
  <si>
    <t xml:space="preserve">Niche skill shortage</t>
  </si>
  <si>
    <t xml:space="preserve">TA Lead - Analytics</t>
  </si>
  <si>
    <t xml:space="preserve">Wealth Management</t>
  </si>
  <si>
    <t xml:space="preserve">80%</t>
  </si>
  <si>
    <t xml:space="preserve">Offer negotiation delays</t>
  </si>
  <si>
    <t xml:space="preserve">TA Lead - WM</t>
  </si>
  <si>
    <t xml:space="preserve">Finance &amp; Audit</t>
  </si>
  <si>
    <t xml:space="preserve">25%</t>
  </si>
  <si>
    <t xml:space="preserve">Multiple approvals required</t>
  </si>
  <si>
    <t xml:space="preserve">TA Head</t>
  </si>
  <si>
    <t xml:space="preserve">33%</t>
  </si>
  <si>
    <t xml:space="preserve">Domain specialist scarcity</t>
  </si>
  <si>
    <t xml:space="preserve">Customer Experience</t>
  </si>
  <si>
    <t xml:space="preserve">88%</t>
  </si>
  <si>
    <t xml:space="preserve">Bulk hiring in progress</t>
  </si>
  <si>
    <t xml:space="preserve">TA Lead - CX</t>
  </si>
  <si>
    <t xml:space="preserve">L&amp;D / HR</t>
  </si>
  <si>
    <t xml:space="preserve">Role clarity from HM</t>
  </si>
  <si>
    <t xml:space="preserve">TA Lead - Corp</t>
  </si>
  <si>
    <t xml:space="preserve">93%</t>
  </si>
  <si>
    <t xml:space="preserve">Offer to join attrition</t>
  </si>
  <si>
    <t xml:space="preserve">📊 Source Effectiveness &amp; Channel Analytics — Q1 FY2025-26</t>
  </si>
  <si>
    <t xml:space="preserve">Sourcing Channel</t>
  </si>
  <si>
    <t xml:space="preserve">Applications</t>
  </si>
  <si>
    <t xml:space="preserve">Shortlisted</t>
  </si>
  <si>
    <t xml:space="preserve">Joined</t>
  </si>
  <si>
    <t xml:space="preserve">Conversion %</t>
  </si>
  <si>
    <t xml:space="preserve">Cost per Hire (₹)</t>
  </si>
  <si>
    <t xml:space="preserve">Naukri.com</t>
  </si>
  <si>
    <t xml:space="preserve">LinkedIn</t>
  </si>
  <si>
    <t xml:space="preserve">Employee Referral</t>
  </si>
  <si>
    <t xml:space="preserve">Campus / Fresher</t>
  </si>
  <si>
    <t xml:space="preserve">Walk-in Drive</t>
  </si>
  <si>
    <t xml:space="preserve">Internal Transfer</t>
  </si>
  <si>
    <t xml:space="preserve">Consultant / RPO</t>
  </si>
  <si>
    <t xml:space="preserve">Company Website</t>
  </si>
  <si>
    <t xml:space="preserve">Shine / Monster</t>
  </si>
  <si>
    <t xml:space="preserve">Social Media</t>
  </si>
  <si>
    <t xml:space="preserve">TOTAL / AVERAGE</t>
  </si>
  <si>
    <t xml:space="preserve">📋 Offer &amp; Joining Tracker — Q1 FY2025-26 | Bajaj Finance</t>
  </si>
  <si>
    <t xml:space="preserve">Candidate Name</t>
  </si>
  <si>
    <t xml:space="preserve">BU</t>
  </si>
  <si>
    <t xml:space="preserve">Offer Date</t>
  </si>
  <si>
    <t xml:space="preserve">CTC Offered (₹L)</t>
  </si>
  <si>
    <t xml:space="preserve">Offer Accepted?</t>
  </si>
  <si>
    <t xml:space="preserve">Expected DOJ</t>
  </si>
  <si>
    <t xml:space="preserve">Joined?</t>
  </si>
  <si>
    <t xml:space="preserve">Drop Reason</t>
  </si>
  <si>
    <t xml:space="preserve">Recruiter</t>
  </si>
  <si>
    <t xml:space="preserve">Notice Period (Days)</t>
  </si>
  <si>
    <t xml:space="preserve">Priya Sharma</t>
  </si>
  <si>
    <t xml:space="preserve">Senior Analyst</t>
  </si>
  <si>
    <t xml:space="preserve">Risk</t>
  </si>
  <si>
    <t xml:space="preserve">02-Apr-25</t>
  </si>
  <si>
    <t xml:space="preserve">Yes</t>
  </si>
  <si>
    <t xml:space="preserve">02-May-25</t>
  </si>
  <si>
    <t xml:space="preserve">-</t>
  </si>
  <si>
    <t xml:space="preserve">Reema K</t>
  </si>
  <si>
    <t xml:space="preserve">Amit Desai</t>
  </si>
  <si>
    <t xml:space="preserve">Sales</t>
  </si>
  <si>
    <t xml:space="preserve">05-Apr-25</t>
  </si>
  <si>
    <t xml:space="preserve">05-May-25</t>
  </si>
  <si>
    <t xml:space="preserve">Sohail M</t>
  </si>
  <si>
    <t xml:space="preserve">Kavya Nair</t>
  </si>
  <si>
    <t xml:space="preserve">Analytics</t>
  </si>
  <si>
    <t xml:space="preserve">08-Apr-25</t>
  </si>
  <si>
    <t xml:space="preserve">No</t>
  </si>
  <si>
    <t xml:space="preserve">Counter offer accepted</t>
  </si>
  <si>
    <t xml:space="preserve">Rohit Mehta</t>
  </si>
  <si>
    <t xml:space="preserve">Relationship Mgr</t>
  </si>
  <si>
    <t xml:space="preserve">Wealth</t>
  </si>
  <si>
    <t xml:space="preserve">10-Apr-25</t>
  </si>
  <si>
    <t xml:space="preserve">10-May-25</t>
  </si>
  <si>
    <t xml:space="preserve">Priti D</t>
  </si>
  <si>
    <t xml:space="preserve">Sneha Kulkarni</t>
  </si>
  <si>
    <t xml:space="preserve">Product Manager</t>
  </si>
  <si>
    <t xml:space="preserve">12-Apr-25</t>
  </si>
  <si>
    <t xml:space="preserve">15-May-25</t>
  </si>
  <si>
    <t xml:space="preserve">Personal reasons</t>
  </si>
  <si>
    <t xml:space="preserve">Anand Rao</t>
  </si>
  <si>
    <t xml:space="preserve">Collections Exec</t>
  </si>
  <si>
    <t xml:space="preserve">13-Apr-25</t>
  </si>
  <si>
    <t xml:space="preserve">21-Apr-25</t>
  </si>
  <si>
    <t xml:space="preserve">Divya Menon</t>
  </si>
  <si>
    <t xml:space="preserve">Legal</t>
  </si>
  <si>
    <t xml:space="preserve">15-Apr-25</t>
  </si>
  <si>
    <t xml:space="preserve">Siddharth Jain</t>
  </si>
  <si>
    <t xml:space="preserve">Tech</t>
  </si>
  <si>
    <t xml:space="preserve">18-Apr-25</t>
  </si>
  <si>
    <t xml:space="preserve">Role mismatch - withdrew</t>
  </si>
  <si>
    <t xml:space="preserve">Meera Iyer</t>
  </si>
  <si>
    <t xml:space="preserve">20-Apr-25</t>
  </si>
  <si>
    <t xml:space="preserve">01-May-25</t>
  </si>
  <si>
    <t xml:space="preserve">Vikram Tiwari</t>
  </si>
  <si>
    <t xml:space="preserve">22-Apr-25</t>
  </si>
  <si>
    <t xml:space="preserve">01-Jun-25</t>
  </si>
  <si>
    <t xml:space="preserve">Awaiting joining</t>
  </si>
  <si>
    <t xml:space="preserve">Aisha Patel</t>
  </si>
  <si>
    <t xml:space="preserve">Customer Success</t>
  </si>
  <si>
    <t xml:space="preserve">24-Apr-25</t>
  </si>
  <si>
    <t xml:space="preserve">28-Apr-25</t>
  </si>
  <si>
    <t xml:space="preserve">Rajan Gupta</t>
  </si>
  <si>
    <t xml:space="preserve">25-Apr-25</t>
  </si>
  <si>
    <t xml:space="preserve">Nisha Reddy</t>
  </si>
  <si>
    <t xml:space="preserve">28-May-25</t>
  </si>
  <si>
    <t xml:space="preserve">Karan Shah</t>
  </si>
  <si>
    <t xml:space="preserve">29-Apr-25</t>
  </si>
  <si>
    <t xml:space="preserve">Pooja Singh</t>
  </si>
  <si>
    <t xml:space="preserve">Audit</t>
  </si>
  <si>
    <t xml:space="preserve">30-Apr-25</t>
  </si>
  <si>
    <t xml:space="preserve">Salary gap - not bridged</t>
  </si>
  <si>
    <t xml:space="preserve">📄 JD Repository &amp; Interview Question Bank Index — TA Reference</t>
  </si>
  <si>
    <t xml:space="preserve">Function</t>
  </si>
  <si>
    <t xml:space="preserve">Level</t>
  </si>
  <si>
    <t xml:space="preserve">JD Owner</t>
  </si>
  <si>
    <t xml:space="preserve">No. of Interview Qs</t>
  </si>
  <si>
    <t xml:space="preserve">Last Updated</t>
  </si>
  <si>
    <t xml:space="preserve">Competencies Covered</t>
  </si>
  <si>
    <t xml:space="preserve">Copilot Prompt Used?</t>
  </si>
  <si>
    <t xml:space="preserve">Manager</t>
  </si>
  <si>
    <t xml:space="preserve">Approved</t>
  </si>
  <si>
    <t xml:space="preserve">HRBP - Sales</t>
  </si>
  <si>
    <t xml:space="preserve">Jan-25</t>
  </si>
  <si>
    <t xml:space="preserve">Leadership, P&amp;L, Team Mgmt</t>
  </si>
  <si>
    <t xml:space="preserve">Senior Exec</t>
  </si>
  <si>
    <t xml:space="preserve">HRBP - Risk</t>
  </si>
  <si>
    <t xml:space="preserve">Feb-25</t>
  </si>
  <si>
    <t xml:space="preserve">Credit Assessment, Compliance</t>
  </si>
  <si>
    <t xml:space="preserve">HRBP - Tech</t>
  </si>
  <si>
    <t xml:space="preserve">Python, ML, SQL, Communication</t>
  </si>
  <si>
    <t xml:space="preserve">Executive</t>
  </si>
  <si>
    <t xml:space="preserve">HRBP - WM</t>
  </si>
  <si>
    <t xml:space="preserve">Mar-25</t>
  </si>
  <si>
    <t xml:space="preserve">Client mgmt, Financial Products</t>
  </si>
  <si>
    <t xml:space="preserve">HRBP - Legal</t>
  </si>
  <si>
    <t xml:space="preserve">Regulatory, Ethics, Audit</t>
  </si>
  <si>
    <t xml:space="preserve">Agile, Roadmap, Stakeholder Mgmt</t>
  </si>
  <si>
    <t xml:space="preserve">HRBP - Ops</t>
  </si>
  <si>
    <t xml:space="preserve">Negotiation, CRM, Field Skills</t>
  </si>
  <si>
    <t xml:space="preserve">Not yet defined</t>
  </si>
  <si>
    <t xml:space="preserve">HRBP - Corp</t>
  </si>
  <si>
    <t xml:space="preserve">Training design, Facilitation</t>
  </si>
  <si>
    <t xml:space="preserve">HRBP - Finance</t>
  </si>
  <si>
    <t xml:space="preserve">FX, Liquidity, ALCO, Compliance</t>
  </si>
  <si>
    <t xml:space="preserve">HRBP - CX</t>
  </si>
  <si>
    <t xml:space="preserve">Customer handling, Empathy, CRM</t>
  </si>
  <si>
    <t xml:space="preserve">Local market, Product knowledge</t>
  </si>
  <si>
    <t xml:space="preserve">Figma, User Research, Prototyping</t>
  </si>
  <si>
    <t xml:space="preserve">Sr Manager</t>
  </si>
  <si>
    <t xml:space="preserve">Ind AS, MIS, Audit, Controls</t>
  </si>
  <si>
    <t xml:space="preserve">Process Audit, Risk, Reporting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</si>
</sst>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21.75" hidden="false" customHeight="true" outlineLevel="0" collapsed="false">
      <c r="A4" s="4" t="s">
        <v>6</v>
      </c>
      <c r="B4" s="4" t="s">
        <v>7</v>
      </c>
      <c r="C4" s="4" t="s">
        <v>8</v>
      </c>
      <c r="D4" s="4" t="s">
        <v>9</v>
      </c>
    </row>
    <row r="5" customFormat="false" ht="21.75" hidden="false" customHeight="true" outlineLevel="0" collapsed="false">
      <c r="A5" s="5" t="s">
        <v>10</v>
      </c>
      <c r="B5" s="5" t="s">
        <v>11</v>
      </c>
      <c r="C5" s="5" t="s">
        <v>12</v>
      </c>
      <c r="D5" s="5" t="s">
        <v>13</v>
      </c>
    </row>
    <row r="6" customFormat="false" ht="21.75" hidden="false" customHeight="true" outlineLevel="0" collapsed="false">
      <c r="A6" s="4" t="s">
        <v>14</v>
      </c>
      <c r="B6" s="4" t="s">
        <v>15</v>
      </c>
      <c r="C6" s="4" t="s">
        <v>16</v>
      </c>
      <c r="D6" s="4" t="s">
        <v>17</v>
      </c>
    </row>
    <row r="7" customFormat="false" ht="21.75" hidden="false" customHeight="true" outlineLevel="0" collapsed="false">
      <c r="A7" s="5" t="s">
        <v>18</v>
      </c>
      <c r="B7" s="5" t="s">
        <v>19</v>
      </c>
      <c r="C7" s="5" t="s">
        <v>20</v>
      </c>
      <c r="D7" s="5" t="s">
        <v>21</v>
      </c>
    </row>
    <row r="8" customFormat="false" ht="21.75" hidden="false" customHeight="true" outlineLevel="0" collapsed="false">
      <c r="A8" s="4" t="s">
        <v>22</v>
      </c>
      <c r="B8" s="4" t="s">
        <v>23</v>
      </c>
      <c r="C8" s="4" t="s">
        <v>24</v>
      </c>
      <c r="D8" s="4" t="s">
        <v>25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9.75" hidden="false" customHeight="true" outlineLevel="0" collapsed="false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</row>
    <row r="3" customFormat="false" ht="18" hidden="false" customHeight="true" outlineLevel="0" collapsed="false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n">
        <v>87</v>
      </c>
      <c r="G3" s="5" t="n">
        <v>42</v>
      </c>
      <c r="H3" s="5" t="s">
        <v>44</v>
      </c>
      <c r="I3" s="5" t="n">
        <v>5</v>
      </c>
      <c r="J3" s="5" t="n">
        <v>4</v>
      </c>
      <c r="K3" s="5" t="n">
        <v>38</v>
      </c>
      <c r="L3" s="6" t="s">
        <v>45</v>
      </c>
    </row>
    <row r="4" customFormat="false" ht="18" hidden="false" customHeight="true" outlineLevel="0" collapsed="false">
      <c r="A4" s="4" t="s">
        <v>46</v>
      </c>
      <c r="B4" s="4" t="s">
        <v>47</v>
      </c>
      <c r="C4" s="4" t="s">
        <v>48</v>
      </c>
      <c r="D4" s="4" t="s">
        <v>49</v>
      </c>
      <c r="E4" s="4" t="s">
        <v>43</v>
      </c>
      <c r="F4" s="4" t="n">
        <v>63</v>
      </c>
      <c r="G4" s="4" t="n">
        <v>31</v>
      </c>
      <c r="H4" s="4" t="s">
        <v>50</v>
      </c>
      <c r="I4" s="4" t="n">
        <v>3</v>
      </c>
      <c r="J4" s="4" t="n">
        <v>3</v>
      </c>
      <c r="K4" s="4" t="n">
        <v>29</v>
      </c>
      <c r="L4" s="7" t="s">
        <v>51</v>
      </c>
    </row>
    <row r="5" customFormat="false" ht="18" hidden="false" customHeight="true" outlineLevel="0" collapsed="false">
      <c r="A5" s="5" t="s">
        <v>52</v>
      </c>
      <c r="B5" s="5" t="s">
        <v>53</v>
      </c>
      <c r="C5" s="5" t="s">
        <v>54</v>
      </c>
      <c r="D5" s="5" t="s">
        <v>55</v>
      </c>
      <c r="E5" s="5" t="s">
        <v>43</v>
      </c>
      <c r="F5" s="5" t="n">
        <v>124</v>
      </c>
      <c r="G5" s="5" t="n">
        <v>55</v>
      </c>
      <c r="H5" s="5" t="s">
        <v>56</v>
      </c>
      <c r="I5" s="5" t="n">
        <v>8</v>
      </c>
      <c r="J5" s="5" t="n">
        <v>5</v>
      </c>
      <c r="K5" s="5" t="n">
        <v>44</v>
      </c>
      <c r="L5" s="6" t="s">
        <v>45</v>
      </c>
    </row>
    <row r="6" customFormat="false" ht="18" hidden="false" customHeight="true" outlineLevel="0" collapsed="false">
      <c r="A6" s="4" t="s">
        <v>57</v>
      </c>
      <c r="B6" s="4" t="s">
        <v>58</v>
      </c>
      <c r="C6" s="4" t="s">
        <v>59</v>
      </c>
      <c r="D6" s="4" t="s">
        <v>60</v>
      </c>
      <c r="E6" s="4" t="s">
        <v>43</v>
      </c>
      <c r="F6" s="4" t="n">
        <v>95</v>
      </c>
      <c r="G6" s="4" t="n">
        <v>47</v>
      </c>
      <c r="H6" s="4" t="s">
        <v>61</v>
      </c>
      <c r="I6" s="4" t="n">
        <v>12</v>
      </c>
      <c r="J6" s="4" t="n">
        <v>9</v>
      </c>
      <c r="K6" s="4" t="n">
        <v>31</v>
      </c>
      <c r="L6" s="8" t="s">
        <v>45</v>
      </c>
    </row>
    <row r="7" customFormat="false" ht="18" hidden="false" customHeight="true" outlineLevel="0" collapsed="false">
      <c r="A7" s="5" t="s">
        <v>62</v>
      </c>
      <c r="B7" s="5" t="s">
        <v>63</v>
      </c>
      <c r="C7" s="5" t="s">
        <v>64</v>
      </c>
      <c r="D7" s="5" t="s">
        <v>42</v>
      </c>
      <c r="E7" s="5" t="s">
        <v>43</v>
      </c>
      <c r="F7" s="5" t="n">
        <v>41</v>
      </c>
      <c r="G7" s="5" t="n">
        <v>19</v>
      </c>
      <c r="H7" s="5" t="s">
        <v>65</v>
      </c>
      <c r="I7" s="5" t="n">
        <v>2</v>
      </c>
      <c r="J7" s="5" t="n">
        <v>2</v>
      </c>
      <c r="K7" s="5" t="n">
        <v>52</v>
      </c>
      <c r="L7" s="9" t="s">
        <v>66</v>
      </c>
    </row>
    <row r="8" customFormat="false" ht="18" hidden="false" customHeight="true" outlineLevel="0" collapsed="false">
      <c r="A8" s="4" t="s">
        <v>67</v>
      </c>
      <c r="B8" s="4" t="s">
        <v>68</v>
      </c>
      <c r="C8" s="4" t="s">
        <v>69</v>
      </c>
      <c r="D8" s="4" t="s">
        <v>49</v>
      </c>
      <c r="E8" s="4" t="s">
        <v>43</v>
      </c>
      <c r="F8" s="4" t="n">
        <v>108</v>
      </c>
      <c r="G8" s="4" t="n">
        <v>61</v>
      </c>
      <c r="H8" s="4" t="s">
        <v>44</v>
      </c>
      <c r="I8" s="4" t="n">
        <v>6</v>
      </c>
      <c r="J8" s="4" t="n">
        <v>4</v>
      </c>
      <c r="K8" s="4" t="n">
        <v>27</v>
      </c>
      <c r="L8" s="8" t="s">
        <v>45</v>
      </c>
    </row>
    <row r="9" customFormat="false" ht="18" hidden="false" customHeight="true" outlineLevel="0" collapsed="false">
      <c r="A9" s="5" t="s">
        <v>70</v>
      </c>
      <c r="B9" s="5" t="s">
        <v>71</v>
      </c>
      <c r="C9" s="5" t="s">
        <v>72</v>
      </c>
      <c r="D9" s="5" t="s">
        <v>73</v>
      </c>
      <c r="E9" s="5" t="s">
        <v>43</v>
      </c>
      <c r="F9" s="5" t="n">
        <v>212</v>
      </c>
      <c r="G9" s="5" t="n">
        <v>89</v>
      </c>
      <c r="H9" s="5" t="s">
        <v>61</v>
      </c>
      <c r="I9" s="5" t="n">
        <v>18</v>
      </c>
      <c r="J9" s="5" t="n">
        <v>15</v>
      </c>
      <c r="K9" s="5" t="n">
        <v>22</v>
      </c>
      <c r="L9" s="6" t="s">
        <v>45</v>
      </c>
    </row>
    <row r="10" customFormat="false" ht="18" hidden="false" customHeight="true" outlineLevel="0" collapsed="false">
      <c r="A10" s="4" t="s">
        <v>74</v>
      </c>
      <c r="B10" s="4" t="s">
        <v>75</v>
      </c>
      <c r="C10" s="4" t="s">
        <v>76</v>
      </c>
      <c r="D10" s="4" t="s">
        <v>55</v>
      </c>
      <c r="E10" s="4" t="s">
        <v>77</v>
      </c>
      <c r="F10" s="4" t="n">
        <v>0</v>
      </c>
      <c r="G10" s="4" t="n">
        <v>0</v>
      </c>
      <c r="H10" s="4" t="s">
        <v>78</v>
      </c>
      <c r="I10" s="4" t="n">
        <v>0</v>
      </c>
      <c r="J10" s="4" t="n">
        <v>0</v>
      </c>
      <c r="K10" s="4" t="n">
        <v>0</v>
      </c>
      <c r="L10" s="10" t="s">
        <v>77</v>
      </c>
    </row>
    <row r="11" customFormat="false" ht="18" hidden="false" customHeight="true" outlineLevel="0" collapsed="false">
      <c r="A11" s="5" t="s">
        <v>79</v>
      </c>
      <c r="B11" s="5" t="s">
        <v>80</v>
      </c>
      <c r="C11" s="5" t="s">
        <v>81</v>
      </c>
      <c r="D11" s="5" t="s">
        <v>49</v>
      </c>
      <c r="E11" s="5" t="s">
        <v>43</v>
      </c>
      <c r="F11" s="5" t="n">
        <v>54</v>
      </c>
      <c r="G11" s="5" t="n">
        <v>28</v>
      </c>
      <c r="H11" s="5" t="s">
        <v>50</v>
      </c>
      <c r="I11" s="5" t="n">
        <v>3</v>
      </c>
      <c r="J11" s="5" t="n">
        <v>2</v>
      </c>
      <c r="K11" s="5" t="n">
        <v>35</v>
      </c>
      <c r="L11" s="6" t="s">
        <v>45</v>
      </c>
    </row>
    <row r="12" customFormat="false" ht="18" hidden="false" customHeight="true" outlineLevel="0" collapsed="false">
      <c r="A12" s="4" t="s">
        <v>82</v>
      </c>
      <c r="B12" s="4" t="s">
        <v>83</v>
      </c>
      <c r="C12" s="4" t="s">
        <v>84</v>
      </c>
      <c r="D12" s="4" t="s">
        <v>42</v>
      </c>
      <c r="E12" s="4" t="s">
        <v>43</v>
      </c>
      <c r="F12" s="4" t="n">
        <v>33</v>
      </c>
      <c r="G12" s="4" t="n">
        <v>18</v>
      </c>
      <c r="H12" s="4" t="s">
        <v>44</v>
      </c>
      <c r="I12" s="4" t="n">
        <v>2</v>
      </c>
      <c r="J12" s="4" t="n">
        <v>1</v>
      </c>
      <c r="K12" s="4" t="n">
        <v>48</v>
      </c>
      <c r="L12" s="8" t="s">
        <v>45</v>
      </c>
    </row>
    <row r="13" customFormat="false" ht="18" hidden="false" customHeight="true" outlineLevel="0" collapsed="false">
      <c r="A13" s="5" t="s">
        <v>85</v>
      </c>
      <c r="B13" s="5" t="s">
        <v>86</v>
      </c>
      <c r="C13" s="5" t="s">
        <v>87</v>
      </c>
      <c r="D13" s="5" t="s">
        <v>88</v>
      </c>
      <c r="E13" s="5" t="s">
        <v>43</v>
      </c>
      <c r="F13" s="5" t="n">
        <v>167</v>
      </c>
      <c r="G13" s="5" t="n">
        <v>72</v>
      </c>
      <c r="H13" s="5" t="s">
        <v>61</v>
      </c>
      <c r="I13" s="5" t="n">
        <v>21</v>
      </c>
      <c r="J13" s="5" t="n">
        <v>19</v>
      </c>
      <c r="K13" s="5" t="n">
        <v>18</v>
      </c>
      <c r="L13" s="11" t="s">
        <v>51</v>
      </c>
    </row>
    <row r="14" customFormat="false" ht="18" hidden="false" customHeight="true" outlineLevel="0" collapsed="false">
      <c r="A14" s="4" t="s">
        <v>89</v>
      </c>
      <c r="B14" s="4" t="s">
        <v>90</v>
      </c>
      <c r="C14" s="4" t="s">
        <v>91</v>
      </c>
      <c r="D14" s="4" t="s">
        <v>42</v>
      </c>
      <c r="E14" s="4" t="s">
        <v>43</v>
      </c>
      <c r="F14" s="4" t="n">
        <v>39</v>
      </c>
      <c r="G14" s="4" t="n">
        <v>21</v>
      </c>
      <c r="H14" s="4" t="s">
        <v>65</v>
      </c>
      <c r="I14" s="4" t="n">
        <v>2</v>
      </c>
      <c r="J14" s="4" t="n">
        <v>0</v>
      </c>
      <c r="K14" s="4" t="n">
        <v>41</v>
      </c>
      <c r="L14" s="8" t="s">
        <v>45</v>
      </c>
    </row>
    <row r="15" customFormat="false" ht="18" hidden="false" customHeight="true" outlineLevel="0" collapsed="false">
      <c r="A15" s="5" t="s">
        <v>92</v>
      </c>
      <c r="B15" s="5" t="s">
        <v>93</v>
      </c>
      <c r="C15" s="5" t="s">
        <v>48</v>
      </c>
      <c r="D15" s="5" t="s">
        <v>94</v>
      </c>
      <c r="E15" s="5" t="s">
        <v>43</v>
      </c>
      <c r="F15" s="5" t="n">
        <v>288</v>
      </c>
      <c r="G15" s="5" t="n">
        <v>110</v>
      </c>
      <c r="H15" s="5" t="s">
        <v>61</v>
      </c>
      <c r="I15" s="5" t="n">
        <v>30</v>
      </c>
      <c r="J15" s="5" t="n">
        <v>27</v>
      </c>
      <c r="K15" s="5" t="n">
        <v>14</v>
      </c>
      <c r="L15" s="6" t="s">
        <v>45</v>
      </c>
    </row>
    <row r="16" customFormat="false" ht="18" hidden="false" customHeight="true" outlineLevel="0" collapsed="false">
      <c r="A16" s="4" t="s">
        <v>95</v>
      </c>
      <c r="B16" s="4" t="s">
        <v>96</v>
      </c>
      <c r="C16" s="4" t="s">
        <v>69</v>
      </c>
      <c r="D16" s="4" t="s">
        <v>55</v>
      </c>
      <c r="E16" s="4" t="s">
        <v>43</v>
      </c>
      <c r="F16" s="4" t="n">
        <v>76</v>
      </c>
      <c r="G16" s="4" t="n">
        <v>38</v>
      </c>
      <c r="H16" s="4" t="s">
        <v>56</v>
      </c>
      <c r="I16" s="4" t="n">
        <v>4</v>
      </c>
      <c r="J16" s="4" t="n">
        <v>3</v>
      </c>
      <c r="K16" s="4" t="n">
        <v>33</v>
      </c>
      <c r="L16" s="8" t="s">
        <v>45</v>
      </c>
    </row>
    <row r="17" customFormat="false" ht="18" hidden="false" customHeight="true" outlineLevel="0" collapsed="false">
      <c r="A17" s="5" t="s">
        <v>97</v>
      </c>
      <c r="B17" s="5" t="s">
        <v>98</v>
      </c>
      <c r="C17" s="5" t="s">
        <v>84</v>
      </c>
      <c r="D17" s="5" t="s">
        <v>42</v>
      </c>
      <c r="E17" s="5" t="s">
        <v>43</v>
      </c>
      <c r="F17" s="5" t="n">
        <v>28</v>
      </c>
      <c r="G17" s="5" t="n">
        <v>14</v>
      </c>
      <c r="H17" s="5" t="s">
        <v>44</v>
      </c>
      <c r="I17" s="5" t="n">
        <v>2</v>
      </c>
      <c r="J17" s="5" t="n">
        <v>2</v>
      </c>
      <c r="K17" s="5" t="n">
        <v>56</v>
      </c>
      <c r="L17" s="6" t="s">
        <v>45</v>
      </c>
    </row>
    <row r="18" customFormat="false" ht="15" hidden="false" customHeight="true" outlineLevel="0" collapsed="false">
      <c r="A18" s="12" t="s">
        <v>99</v>
      </c>
      <c r="B18" s="12"/>
      <c r="C18" s="12"/>
      <c r="D18" s="12"/>
      <c r="E18" s="13" t="n">
        <f aca="false">COUNTA(F3:F17)</f>
        <v>15</v>
      </c>
      <c r="F18" s="13" t="n">
        <f aca="false">SUM(F3:F17)</f>
        <v>1415</v>
      </c>
      <c r="G18" s="13" t="n">
        <f aca="false">SUM(G3:G17)</f>
        <v>645</v>
      </c>
      <c r="H18" s="13"/>
      <c r="I18" s="13" t="n">
        <f aca="false">SUM(I3:I17)</f>
        <v>118</v>
      </c>
      <c r="J18" s="13" t="n">
        <f aca="false">SUM(J3:J17)</f>
        <v>96</v>
      </c>
      <c r="K18" s="13" t="n">
        <f aca="false">AVERAGE(K3:K17)</f>
        <v>32.5333333333333</v>
      </c>
      <c r="L18" s="13"/>
    </row>
  </sheetData>
  <mergeCells count="2">
    <mergeCell ref="A1:L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3" t="s">
        <v>29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</row>
    <row r="3" customFormat="false" ht="18" hidden="false" customHeight="true" outlineLevel="0" collapsed="false">
      <c r="A3" s="5" t="s">
        <v>41</v>
      </c>
      <c r="B3" s="5" t="n">
        <v>12</v>
      </c>
      <c r="C3" s="5" t="n">
        <v>34</v>
      </c>
      <c r="D3" s="5" t="n">
        <v>30</v>
      </c>
      <c r="E3" s="9" t="s">
        <v>108</v>
      </c>
      <c r="F3" s="5" t="n">
        <v>4</v>
      </c>
      <c r="G3" s="5" t="s">
        <v>109</v>
      </c>
      <c r="H3" s="5" t="s">
        <v>110</v>
      </c>
    </row>
    <row r="4" customFormat="false" ht="18" hidden="false" customHeight="true" outlineLevel="0" collapsed="false">
      <c r="A4" s="4" t="s">
        <v>48</v>
      </c>
      <c r="B4" s="4" t="n">
        <v>28</v>
      </c>
      <c r="C4" s="4" t="n">
        <v>18</v>
      </c>
      <c r="D4" s="4" t="n">
        <v>20</v>
      </c>
      <c r="E4" s="8" t="s">
        <v>111</v>
      </c>
      <c r="F4" s="4" t="n">
        <v>3</v>
      </c>
      <c r="G4" s="4" t="s">
        <v>112</v>
      </c>
      <c r="H4" s="4" t="s">
        <v>113</v>
      </c>
    </row>
    <row r="5" customFormat="false" ht="18" hidden="false" customHeight="true" outlineLevel="0" collapsed="false">
      <c r="A5" s="5" t="s">
        <v>114</v>
      </c>
      <c r="B5" s="5" t="n">
        <v>9</v>
      </c>
      <c r="C5" s="5" t="n">
        <v>42</v>
      </c>
      <c r="D5" s="5" t="n">
        <v>35</v>
      </c>
      <c r="E5" s="14" t="s">
        <v>115</v>
      </c>
      <c r="F5" s="5" t="n">
        <v>4</v>
      </c>
      <c r="G5" s="5" t="s">
        <v>116</v>
      </c>
      <c r="H5" s="5" t="s">
        <v>117</v>
      </c>
    </row>
    <row r="6" customFormat="false" ht="18" hidden="false" customHeight="true" outlineLevel="0" collapsed="false">
      <c r="A6" s="4" t="s">
        <v>54</v>
      </c>
      <c r="B6" s="4" t="n">
        <v>6</v>
      </c>
      <c r="C6" s="4" t="n">
        <v>47</v>
      </c>
      <c r="D6" s="4" t="n">
        <v>35</v>
      </c>
      <c r="E6" s="15" t="s">
        <v>118</v>
      </c>
      <c r="F6" s="4" t="n">
        <v>3</v>
      </c>
      <c r="G6" s="4" t="s">
        <v>119</v>
      </c>
      <c r="H6" s="4" t="s">
        <v>120</v>
      </c>
    </row>
    <row r="7" customFormat="false" ht="18" hidden="false" customHeight="true" outlineLevel="0" collapsed="false">
      <c r="A7" s="5" t="s">
        <v>121</v>
      </c>
      <c r="B7" s="5" t="n">
        <v>5</v>
      </c>
      <c r="C7" s="5" t="n">
        <v>31</v>
      </c>
      <c r="D7" s="5" t="n">
        <v>30</v>
      </c>
      <c r="E7" s="6" t="s">
        <v>122</v>
      </c>
      <c r="F7" s="5" t="n">
        <v>1</v>
      </c>
      <c r="G7" s="5" t="s">
        <v>123</v>
      </c>
      <c r="H7" s="5" t="s">
        <v>124</v>
      </c>
    </row>
    <row r="8" customFormat="false" ht="18" hidden="false" customHeight="true" outlineLevel="0" collapsed="false">
      <c r="A8" s="4" t="s">
        <v>125</v>
      </c>
      <c r="B8" s="4" t="n">
        <v>4</v>
      </c>
      <c r="C8" s="4" t="n">
        <v>52</v>
      </c>
      <c r="D8" s="4" t="n">
        <v>40</v>
      </c>
      <c r="E8" s="15" t="s">
        <v>126</v>
      </c>
      <c r="F8" s="4" t="n">
        <v>3</v>
      </c>
      <c r="G8" s="4" t="s">
        <v>127</v>
      </c>
      <c r="H8" s="4" t="s">
        <v>128</v>
      </c>
    </row>
    <row r="9" customFormat="false" ht="18" hidden="false" customHeight="true" outlineLevel="0" collapsed="false">
      <c r="A9" s="5" t="s">
        <v>64</v>
      </c>
      <c r="B9" s="5" t="n">
        <v>3</v>
      </c>
      <c r="C9" s="5" t="n">
        <v>55</v>
      </c>
      <c r="D9" s="5" t="n">
        <v>40</v>
      </c>
      <c r="E9" s="14" t="s">
        <v>129</v>
      </c>
      <c r="F9" s="5" t="n">
        <v>2</v>
      </c>
      <c r="G9" s="5" t="s">
        <v>130</v>
      </c>
      <c r="H9" s="5" t="s">
        <v>128</v>
      </c>
    </row>
    <row r="10" customFormat="false" ht="18" hidden="false" customHeight="true" outlineLevel="0" collapsed="false">
      <c r="A10" s="4" t="s">
        <v>131</v>
      </c>
      <c r="B10" s="4" t="n">
        <v>8</v>
      </c>
      <c r="C10" s="4" t="n">
        <v>17</v>
      </c>
      <c r="D10" s="4" t="n">
        <v>20</v>
      </c>
      <c r="E10" s="8" t="s">
        <v>132</v>
      </c>
      <c r="F10" s="4" t="n">
        <v>1</v>
      </c>
      <c r="G10" s="4" t="s">
        <v>133</v>
      </c>
      <c r="H10" s="4" t="s">
        <v>134</v>
      </c>
    </row>
    <row r="11" customFormat="false" ht="18" hidden="false" customHeight="true" outlineLevel="0" collapsed="false">
      <c r="A11" s="5" t="s">
        <v>135</v>
      </c>
      <c r="B11" s="5" t="n">
        <v>3</v>
      </c>
      <c r="C11" s="5" t="n">
        <v>35</v>
      </c>
      <c r="D11" s="5" t="n">
        <v>30</v>
      </c>
      <c r="E11" s="9" t="s">
        <v>108</v>
      </c>
      <c r="F11" s="5" t="n">
        <v>1</v>
      </c>
      <c r="G11" s="5" t="s">
        <v>136</v>
      </c>
      <c r="H11" s="5" t="s">
        <v>137</v>
      </c>
    </row>
    <row r="12" customFormat="false" ht="18" hidden="false" customHeight="true" outlineLevel="0" collapsed="false">
      <c r="A12" s="4" t="s">
        <v>72</v>
      </c>
      <c r="B12" s="4" t="n">
        <v>15</v>
      </c>
      <c r="C12" s="4" t="n">
        <v>14</v>
      </c>
      <c r="D12" s="4" t="n">
        <v>15</v>
      </c>
      <c r="E12" s="8" t="s">
        <v>138</v>
      </c>
      <c r="F12" s="4" t="n">
        <v>1</v>
      </c>
      <c r="G12" s="4" t="s">
        <v>139</v>
      </c>
      <c r="H12" s="4" t="s">
        <v>113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3" t="s">
        <v>141</v>
      </c>
      <c r="B2" s="3" t="s">
        <v>142</v>
      </c>
      <c r="C2" s="3" t="s">
        <v>143</v>
      </c>
      <c r="D2" s="3" t="s">
        <v>35</v>
      </c>
      <c r="E2" s="3" t="s">
        <v>144</v>
      </c>
      <c r="F2" s="3" t="s">
        <v>145</v>
      </c>
      <c r="G2" s="3" t="s">
        <v>102</v>
      </c>
      <c r="H2" s="3" t="s">
        <v>146</v>
      </c>
    </row>
    <row r="3" customFormat="false" ht="18" hidden="false" customHeight="true" outlineLevel="0" collapsed="false">
      <c r="A3" s="5" t="s">
        <v>147</v>
      </c>
      <c r="B3" s="5" t="n">
        <v>680</v>
      </c>
      <c r="C3" s="5" t="n">
        <v>210</v>
      </c>
      <c r="D3" s="5" t="n">
        <v>48</v>
      </c>
      <c r="E3" s="5" t="n">
        <v>38</v>
      </c>
      <c r="F3" s="16" t="n">
        <f aca="false">E3/B3</f>
        <v>0.0558823529411765</v>
      </c>
      <c r="G3" s="5" t="n">
        <v>28</v>
      </c>
      <c r="H3" s="5" t="n">
        <v>4200</v>
      </c>
    </row>
    <row r="4" customFormat="false" ht="18" hidden="false" customHeight="true" outlineLevel="0" collapsed="false">
      <c r="A4" s="4" t="s">
        <v>148</v>
      </c>
      <c r="B4" s="4" t="n">
        <v>312</v>
      </c>
      <c r="C4" s="4" t="n">
        <v>118</v>
      </c>
      <c r="D4" s="4" t="n">
        <v>31</v>
      </c>
      <c r="E4" s="4" t="n">
        <v>24</v>
      </c>
      <c r="F4" s="17" t="n">
        <f aca="false">E4/B4</f>
        <v>0.0769230769230769</v>
      </c>
      <c r="G4" s="4" t="n">
        <v>24</v>
      </c>
      <c r="H4" s="4" t="n">
        <v>5800</v>
      </c>
    </row>
    <row r="5" customFormat="false" ht="18" hidden="false" customHeight="true" outlineLevel="0" collapsed="false">
      <c r="A5" s="5" t="s">
        <v>149</v>
      </c>
      <c r="B5" s="5" t="n">
        <v>145</v>
      </c>
      <c r="C5" s="5" t="n">
        <v>98</v>
      </c>
      <c r="D5" s="5" t="n">
        <v>42</v>
      </c>
      <c r="E5" s="5" t="n">
        <v>39</v>
      </c>
      <c r="F5" s="16" t="n">
        <f aca="false">E5/B5</f>
        <v>0.268965517241379</v>
      </c>
      <c r="G5" s="5" t="n">
        <v>19</v>
      </c>
      <c r="H5" s="5" t="n">
        <v>1200</v>
      </c>
    </row>
    <row r="6" customFormat="false" ht="18" hidden="false" customHeight="true" outlineLevel="0" collapsed="false">
      <c r="A6" s="4" t="s">
        <v>150</v>
      </c>
      <c r="B6" s="4" t="n">
        <v>87</v>
      </c>
      <c r="C6" s="4" t="n">
        <v>61</v>
      </c>
      <c r="D6" s="4" t="n">
        <v>28</v>
      </c>
      <c r="E6" s="4" t="n">
        <v>25</v>
      </c>
      <c r="F6" s="17" t="n">
        <f aca="false">E6/B6</f>
        <v>0.28735632183908</v>
      </c>
      <c r="G6" s="4" t="n">
        <v>32</v>
      </c>
      <c r="H6" s="4" t="n">
        <v>2100</v>
      </c>
    </row>
    <row r="7" customFormat="false" ht="18" hidden="false" customHeight="true" outlineLevel="0" collapsed="false">
      <c r="A7" s="5" t="s">
        <v>151</v>
      </c>
      <c r="B7" s="5" t="n">
        <v>423</v>
      </c>
      <c r="C7" s="5" t="n">
        <v>189</v>
      </c>
      <c r="D7" s="5" t="n">
        <v>67</v>
      </c>
      <c r="E7" s="5" t="n">
        <v>58</v>
      </c>
      <c r="F7" s="16" t="n">
        <f aca="false">E7/B7</f>
        <v>0.137115839243499</v>
      </c>
      <c r="G7" s="5" t="n">
        <v>12</v>
      </c>
      <c r="H7" s="5" t="n">
        <v>900</v>
      </c>
    </row>
    <row r="8" customFormat="false" ht="18" hidden="false" customHeight="true" outlineLevel="0" collapsed="false">
      <c r="A8" s="4" t="s">
        <v>152</v>
      </c>
      <c r="B8" s="4" t="n">
        <v>34</v>
      </c>
      <c r="C8" s="4" t="n">
        <v>32</v>
      </c>
      <c r="D8" s="4" t="n">
        <v>18</v>
      </c>
      <c r="E8" s="4" t="n">
        <v>17</v>
      </c>
      <c r="F8" s="17" t="n">
        <f aca="false">E8/B8</f>
        <v>0.5</v>
      </c>
      <c r="G8" s="4" t="n">
        <v>14</v>
      </c>
      <c r="H8" s="4" t="n">
        <v>0</v>
      </c>
    </row>
    <row r="9" customFormat="false" ht="18" hidden="false" customHeight="true" outlineLevel="0" collapsed="false">
      <c r="A9" s="5" t="s">
        <v>153</v>
      </c>
      <c r="B9" s="5" t="n">
        <v>92</v>
      </c>
      <c r="C9" s="5" t="n">
        <v>54</v>
      </c>
      <c r="D9" s="5" t="n">
        <v>19</v>
      </c>
      <c r="E9" s="5" t="n">
        <v>14</v>
      </c>
      <c r="F9" s="16" t="n">
        <f aca="false">E9/B9</f>
        <v>0.152173913043478</v>
      </c>
      <c r="G9" s="5" t="n">
        <v>35</v>
      </c>
      <c r="H9" s="5" t="n">
        <v>18000</v>
      </c>
    </row>
    <row r="10" customFormat="false" ht="18" hidden="false" customHeight="true" outlineLevel="0" collapsed="false">
      <c r="A10" s="4" t="s">
        <v>154</v>
      </c>
      <c r="B10" s="4" t="n">
        <v>128</v>
      </c>
      <c r="C10" s="4" t="n">
        <v>41</v>
      </c>
      <c r="D10" s="4" t="n">
        <v>11</v>
      </c>
      <c r="E10" s="4" t="n">
        <v>8</v>
      </c>
      <c r="F10" s="17" t="n">
        <f aca="false">E10/B10</f>
        <v>0.0625</v>
      </c>
      <c r="G10" s="4" t="n">
        <v>30</v>
      </c>
      <c r="H10" s="4" t="n">
        <v>600</v>
      </c>
    </row>
    <row r="11" customFormat="false" ht="18" hidden="false" customHeight="true" outlineLevel="0" collapsed="false">
      <c r="A11" s="5" t="s">
        <v>155</v>
      </c>
      <c r="B11" s="5" t="n">
        <v>201</v>
      </c>
      <c r="C11" s="5" t="n">
        <v>67</v>
      </c>
      <c r="D11" s="5" t="n">
        <v>14</v>
      </c>
      <c r="E11" s="5" t="n">
        <v>9</v>
      </c>
      <c r="F11" s="16" t="n">
        <f aca="false">E11/B11</f>
        <v>0.0447761194029851</v>
      </c>
      <c r="G11" s="5" t="n">
        <v>33</v>
      </c>
      <c r="H11" s="5" t="n">
        <v>3100</v>
      </c>
    </row>
    <row r="12" customFormat="false" ht="18" hidden="false" customHeight="true" outlineLevel="0" collapsed="false">
      <c r="A12" s="4" t="s">
        <v>156</v>
      </c>
      <c r="B12" s="4" t="n">
        <v>88</v>
      </c>
      <c r="C12" s="4" t="n">
        <v>29</v>
      </c>
      <c r="D12" s="4" t="n">
        <v>7</v>
      </c>
      <c r="E12" s="4" t="n">
        <v>5</v>
      </c>
      <c r="F12" s="17" t="n">
        <f aca="false">E12/B12</f>
        <v>0.0568181818181818</v>
      </c>
      <c r="G12" s="4" t="n">
        <v>27</v>
      </c>
      <c r="H12" s="4" t="n">
        <v>1400</v>
      </c>
    </row>
    <row r="13" customFormat="false" ht="15" hidden="false" customHeight="false" outlineLevel="0" collapsed="false">
      <c r="A13" s="13" t="s">
        <v>157</v>
      </c>
      <c r="B13" s="13" t="n">
        <f aca="false">SUM(B3:B12)</f>
        <v>2190</v>
      </c>
      <c r="C13" s="13" t="n">
        <f aca="false">SUM(C3:C12)</f>
        <v>899</v>
      </c>
      <c r="D13" s="13" t="n">
        <f aca="false">SUM(D3:D12)</f>
        <v>285</v>
      </c>
      <c r="E13" s="13" t="n">
        <f aca="false">SUM(E3:E12)</f>
        <v>237</v>
      </c>
      <c r="F13" s="18" t="n">
        <f aca="false">E13/B13</f>
        <v>0.108219178082192</v>
      </c>
      <c r="G13" s="13" t="n">
        <f aca="false">AVERAGE(G3:G12)</f>
        <v>25.4</v>
      </c>
      <c r="H13" s="13" t="n">
        <f aca="false">AVERAGE(H3:H12)</f>
        <v>3730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3" t="s">
        <v>159</v>
      </c>
      <c r="B2" s="3" t="s">
        <v>28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</row>
    <row r="3" customFormat="false" ht="18" hidden="false" customHeight="true" outlineLevel="0" collapsed="false">
      <c r="A3" s="5" t="s">
        <v>169</v>
      </c>
      <c r="B3" s="5" t="s">
        <v>170</v>
      </c>
      <c r="C3" s="5" t="s">
        <v>171</v>
      </c>
      <c r="D3" s="5" t="s">
        <v>172</v>
      </c>
      <c r="E3" s="5" t="n">
        <v>14.5</v>
      </c>
      <c r="F3" s="6" t="s">
        <v>173</v>
      </c>
      <c r="G3" s="5" t="s">
        <v>174</v>
      </c>
      <c r="H3" s="6" t="s">
        <v>173</v>
      </c>
      <c r="I3" s="5" t="s">
        <v>175</v>
      </c>
      <c r="J3" s="5" t="s">
        <v>176</v>
      </c>
      <c r="K3" s="5" t="n">
        <v>60</v>
      </c>
    </row>
    <row r="4" customFormat="false" ht="18" hidden="false" customHeight="true" outlineLevel="0" collapsed="false">
      <c r="A4" s="4" t="s">
        <v>177</v>
      </c>
      <c r="B4" s="4" t="s">
        <v>47</v>
      </c>
      <c r="C4" s="4" t="s">
        <v>178</v>
      </c>
      <c r="D4" s="4" t="s">
        <v>179</v>
      </c>
      <c r="E4" s="4" t="n">
        <v>18</v>
      </c>
      <c r="F4" s="8" t="s">
        <v>173</v>
      </c>
      <c r="G4" s="4" t="s">
        <v>180</v>
      </c>
      <c r="H4" s="8" t="s">
        <v>173</v>
      </c>
      <c r="I4" s="4" t="s">
        <v>175</v>
      </c>
      <c r="J4" s="4" t="s">
        <v>181</v>
      </c>
      <c r="K4" s="4" t="n">
        <v>90</v>
      </c>
    </row>
    <row r="5" customFormat="false" ht="18" hidden="false" customHeight="true" outlineLevel="0" collapsed="false">
      <c r="A5" s="5" t="s">
        <v>182</v>
      </c>
      <c r="B5" s="5" t="s">
        <v>53</v>
      </c>
      <c r="C5" s="5" t="s">
        <v>183</v>
      </c>
      <c r="D5" s="5" t="s">
        <v>184</v>
      </c>
      <c r="E5" s="5" t="n">
        <v>22</v>
      </c>
      <c r="F5" s="14" t="s">
        <v>185</v>
      </c>
      <c r="G5" s="5" t="s">
        <v>175</v>
      </c>
      <c r="H5" s="14" t="s">
        <v>185</v>
      </c>
      <c r="I5" s="5" t="s">
        <v>186</v>
      </c>
      <c r="J5" s="5" t="s">
        <v>176</v>
      </c>
      <c r="K5" s="5" t="n">
        <v>0</v>
      </c>
    </row>
    <row r="6" customFormat="false" ht="18" hidden="false" customHeight="true" outlineLevel="0" collapsed="false">
      <c r="A6" s="4" t="s">
        <v>187</v>
      </c>
      <c r="B6" s="4" t="s">
        <v>188</v>
      </c>
      <c r="C6" s="4" t="s">
        <v>189</v>
      </c>
      <c r="D6" s="4" t="s">
        <v>190</v>
      </c>
      <c r="E6" s="4" t="n">
        <v>16</v>
      </c>
      <c r="F6" s="8" t="s">
        <v>173</v>
      </c>
      <c r="G6" s="4" t="s">
        <v>191</v>
      </c>
      <c r="H6" s="8" t="s">
        <v>173</v>
      </c>
      <c r="I6" s="4" t="s">
        <v>175</v>
      </c>
      <c r="J6" s="4" t="s">
        <v>192</v>
      </c>
      <c r="K6" s="4" t="n">
        <v>60</v>
      </c>
    </row>
    <row r="7" customFormat="false" ht="18" hidden="false" customHeight="true" outlineLevel="0" collapsed="false">
      <c r="A7" s="5" t="s">
        <v>193</v>
      </c>
      <c r="B7" s="5" t="s">
        <v>194</v>
      </c>
      <c r="C7" s="5" t="s">
        <v>69</v>
      </c>
      <c r="D7" s="5" t="s">
        <v>195</v>
      </c>
      <c r="E7" s="5" t="n">
        <v>26</v>
      </c>
      <c r="F7" s="6" t="s">
        <v>173</v>
      </c>
      <c r="G7" s="5" t="s">
        <v>196</v>
      </c>
      <c r="H7" s="14" t="s">
        <v>185</v>
      </c>
      <c r="I7" s="5" t="s">
        <v>197</v>
      </c>
      <c r="J7" s="5" t="s">
        <v>181</v>
      </c>
      <c r="K7" s="5" t="n">
        <v>30</v>
      </c>
    </row>
    <row r="8" customFormat="false" ht="18" hidden="false" customHeight="true" outlineLevel="0" collapsed="false">
      <c r="A8" s="4" t="s">
        <v>198</v>
      </c>
      <c r="B8" s="4" t="s">
        <v>199</v>
      </c>
      <c r="C8" s="4" t="s">
        <v>72</v>
      </c>
      <c r="D8" s="4" t="s">
        <v>200</v>
      </c>
      <c r="E8" s="4" t="n">
        <v>5.5</v>
      </c>
      <c r="F8" s="8" t="s">
        <v>173</v>
      </c>
      <c r="G8" s="4" t="s">
        <v>201</v>
      </c>
      <c r="H8" s="8" t="s">
        <v>173</v>
      </c>
      <c r="I8" s="4" t="s">
        <v>175</v>
      </c>
      <c r="J8" s="4" t="s">
        <v>192</v>
      </c>
      <c r="K8" s="4" t="n">
        <v>15</v>
      </c>
    </row>
    <row r="9" customFormat="false" ht="18" hidden="false" customHeight="true" outlineLevel="0" collapsed="false">
      <c r="A9" s="5" t="s">
        <v>202</v>
      </c>
      <c r="B9" s="5" t="s">
        <v>63</v>
      </c>
      <c r="C9" s="5" t="s">
        <v>203</v>
      </c>
      <c r="D9" s="5" t="s">
        <v>204</v>
      </c>
      <c r="E9" s="5" t="n">
        <v>17.5</v>
      </c>
      <c r="F9" s="6" t="s">
        <v>173</v>
      </c>
      <c r="G9" s="5" t="s">
        <v>196</v>
      </c>
      <c r="H9" s="6" t="s">
        <v>173</v>
      </c>
      <c r="I9" s="5" t="s">
        <v>175</v>
      </c>
      <c r="J9" s="5" t="s">
        <v>176</v>
      </c>
      <c r="K9" s="5" t="n">
        <v>30</v>
      </c>
    </row>
    <row r="10" customFormat="false" ht="18" hidden="false" customHeight="true" outlineLevel="0" collapsed="false">
      <c r="A10" s="4" t="s">
        <v>205</v>
      </c>
      <c r="B10" s="4" t="s">
        <v>75</v>
      </c>
      <c r="C10" s="4" t="s">
        <v>206</v>
      </c>
      <c r="D10" s="4" t="s">
        <v>207</v>
      </c>
      <c r="E10" s="4" t="n">
        <v>19</v>
      </c>
      <c r="F10" s="15" t="s">
        <v>185</v>
      </c>
      <c r="G10" s="4" t="s">
        <v>175</v>
      </c>
      <c r="H10" s="15" t="s">
        <v>185</v>
      </c>
      <c r="I10" s="4" t="s">
        <v>208</v>
      </c>
      <c r="J10" s="4" t="s">
        <v>181</v>
      </c>
      <c r="K10" s="4" t="n">
        <v>0</v>
      </c>
    </row>
    <row r="11" customFormat="false" ht="18" hidden="false" customHeight="true" outlineLevel="0" collapsed="false">
      <c r="A11" s="5" t="s">
        <v>209</v>
      </c>
      <c r="B11" s="5" t="s">
        <v>80</v>
      </c>
      <c r="C11" s="5" t="s">
        <v>81</v>
      </c>
      <c r="D11" s="5" t="s">
        <v>210</v>
      </c>
      <c r="E11" s="5" t="n">
        <v>12</v>
      </c>
      <c r="F11" s="6" t="s">
        <v>173</v>
      </c>
      <c r="G11" s="5" t="s">
        <v>211</v>
      </c>
      <c r="H11" s="6" t="s">
        <v>173</v>
      </c>
      <c r="I11" s="5" t="s">
        <v>175</v>
      </c>
      <c r="J11" s="5" t="s">
        <v>192</v>
      </c>
      <c r="K11" s="5" t="n">
        <v>30</v>
      </c>
    </row>
    <row r="12" customFormat="false" ht="18" hidden="false" customHeight="true" outlineLevel="0" collapsed="false">
      <c r="A12" s="4" t="s">
        <v>212</v>
      </c>
      <c r="B12" s="4" t="s">
        <v>83</v>
      </c>
      <c r="C12" s="4" t="s">
        <v>84</v>
      </c>
      <c r="D12" s="4" t="s">
        <v>213</v>
      </c>
      <c r="E12" s="4" t="n">
        <v>24</v>
      </c>
      <c r="F12" s="8" t="s">
        <v>173</v>
      </c>
      <c r="G12" s="4" t="s">
        <v>214</v>
      </c>
      <c r="H12" s="15" t="s">
        <v>185</v>
      </c>
      <c r="I12" s="4" t="s">
        <v>215</v>
      </c>
      <c r="J12" s="4" t="s">
        <v>176</v>
      </c>
      <c r="K12" s="4" t="n">
        <v>60</v>
      </c>
    </row>
    <row r="13" customFormat="false" ht="18" hidden="false" customHeight="true" outlineLevel="0" collapsed="false">
      <c r="A13" s="5" t="s">
        <v>216</v>
      </c>
      <c r="B13" s="5" t="s">
        <v>217</v>
      </c>
      <c r="C13" s="5" t="s">
        <v>87</v>
      </c>
      <c r="D13" s="5" t="s">
        <v>218</v>
      </c>
      <c r="E13" s="5" t="n">
        <v>7</v>
      </c>
      <c r="F13" s="6" t="s">
        <v>173</v>
      </c>
      <c r="G13" s="5" t="s">
        <v>219</v>
      </c>
      <c r="H13" s="6" t="s">
        <v>173</v>
      </c>
      <c r="I13" s="5" t="s">
        <v>175</v>
      </c>
      <c r="J13" s="5" t="s">
        <v>181</v>
      </c>
      <c r="K13" s="5" t="n">
        <v>7</v>
      </c>
    </row>
    <row r="14" customFormat="false" ht="18" hidden="false" customHeight="true" outlineLevel="0" collapsed="false">
      <c r="A14" s="4" t="s">
        <v>220</v>
      </c>
      <c r="B14" s="4" t="s">
        <v>93</v>
      </c>
      <c r="C14" s="4" t="s">
        <v>178</v>
      </c>
      <c r="D14" s="4" t="s">
        <v>221</v>
      </c>
      <c r="E14" s="4" t="n">
        <v>4.8</v>
      </c>
      <c r="F14" s="8" t="s">
        <v>173</v>
      </c>
      <c r="G14" s="4" t="s">
        <v>219</v>
      </c>
      <c r="H14" s="8" t="s">
        <v>173</v>
      </c>
      <c r="I14" s="4" t="s">
        <v>175</v>
      </c>
      <c r="J14" s="4" t="s">
        <v>192</v>
      </c>
      <c r="K14" s="4" t="n">
        <v>7</v>
      </c>
    </row>
    <row r="15" customFormat="false" ht="18" hidden="false" customHeight="true" outlineLevel="0" collapsed="false">
      <c r="A15" s="5" t="s">
        <v>222</v>
      </c>
      <c r="B15" s="5" t="s">
        <v>96</v>
      </c>
      <c r="C15" s="5" t="s">
        <v>69</v>
      </c>
      <c r="D15" s="5" t="s">
        <v>219</v>
      </c>
      <c r="E15" s="5" t="n">
        <v>15</v>
      </c>
      <c r="F15" s="6" t="s">
        <v>173</v>
      </c>
      <c r="G15" s="5" t="s">
        <v>223</v>
      </c>
      <c r="H15" s="14" t="s">
        <v>185</v>
      </c>
      <c r="I15" s="5" t="s">
        <v>215</v>
      </c>
      <c r="J15" s="5" t="s">
        <v>176</v>
      </c>
      <c r="K15" s="5" t="n">
        <v>30</v>
      </c>
    </row>
    <row r="16" customFormat="false" ht="18" hidden="false" customHeight="true" outlineLevel="0" collapsed="false">
      <c r="A16" s="4" t="s">
        <v>224</v>
      </c>
      <c r="B16" s="4" t="s">
        <v>98</v>
      </c>
      <c r="C16" s="4" t="s">
        <v>84</v>
      </c>
      <c r="D16" s="4" t="s">
        <v>225</v>
      </c>
      <c r="E16" s="4" t="n">
        <v>28</v>
      </c>
      <c r="F16" s="8" t="s">
        <v>173</v>
      </c>
      <c r="G16" s="4" t="s">
        <v>214</v>
      </c>
      <c r="H16" s="8" t="s">
        <v>173</v>
      </c>
      <c r="I16" s="4" t="s">
        <v>175</v>
      </c>
      <c r="J16" s="4" t="s">
        <v>181</v>
      </c>
      <c r="K16" s="4" t="n">
        <v>60</v>
      </c>
    </row>
    <row r="17" customFormat="false" ht="18" hidden="false" customHeight="true" outlineLevel="0" collapsed="false">
      <c r="A17" s="5" t="s">
        <v>226</v>
      </c>
      <c r="B17" s="5" t="s">
        <v>90</v>
      </c>
      <c r="C17" s="5" t="s">
        <v>227</v>
      </c>
      <c r="D17" s="5" t="s">
        <v>228</v>
      </c>
      <c r="E17" s="5" t="n">
        <v>11</v>
      </c>
      <c r="F17" s="14" t="s">
        <v>185</v>
      </c>
      <c r="G17" s="5" t="s">
        <v>175</v>
      </c>
      <c r="H17" s="14" t="s">
        <v>185</v>
      </c>
      <c r="I17" s="5" t="s">
        <v>229</v>
      </c>
      <c r="J17" s="5" t="s">
        <v>192</v>
      </c>
      <c r="K17" s="5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3" t="s">
        <v>28</v>
      </c>
      <c r="B2" s="3" t="s">
        <v>231</v>
      </c>
      <c r="C2" s="3" t="s">
        <v>232</v>
      </c>
      <c r="D2" s="3" t="s">
        <v>31</v>
      </c>
      <c r="E2" s="3" t="s">
        <v>233</v>
      </c>
      <c r="F2" s="3" t="s">
        <v>234</v>
      </c>
      <c r="G2" s="3" t="s">
        <v>235</v>
      </c>
      <c r="H2" s="3" t="s">
        <v>236</v>
      </c>
      <c r="I2" s="3" t="s">
        <v>237</v>
      </c>
    </row>
    <row r="3" customFormat="false" ht="18" hidden="false" customHeight="true" outlineLevel="0" collapsed="false">
      <c r="A3" s="5" t="s">
        <v>47</v>
      </c>
      <c r="B3" s="5" t="s">
        <v>178</v>
      </c>
      <c r="C3" s="5" t="s">
        <v>238</v>
      </c>
      <c r="D3" s="6" t="s">
        <v>239</v>
      </c>
      <c r="E3" s="5" t="s">
        <v>240</v>
      </c>
      <c r="F3" s="5" t="n">
        <v>24</v>
      </c>
      <c r="G3" s="5" t="s">
        <v>241</v>
      </c>
      <c r="H3" s="5" t="s">
        <v>242</v>
      </c>
      <c r="I3" s="19" t="s">
        <v>173</v>
      </c>
    </row>
    <row r="4" customFormat="false" ht="18" hidden="false" customHeight="true" outlineLevel="0" collapsed="false">
      <c r="A4" s="4" t="s">
        <v>40</v>
      </c>
      <c r="B4" s="4" t="s">
        <v>171</v>
      </c>
      <c r="C4" s="4" t="s">
        <v>243</v>
      </c>
      <c r="D4" s="8" t="s">
        <v>239</v>
      </c>
      <c r="E4" s="4" t="s">
        <v>244</v>
      </c>
      <c r="F4" s="4" t="n">
        <v>18</v>
      </c>
      <c r="G4" s="4" t="s">
        <v>245</v>
      </c>
      <c r="H4" s="4" t="s">
        <v>246</v>
      </c>
      <c r="I4" s="20" t="s">
        <v>173</v>
      </c>
    </row>
    <row r="5" customFormat="false" ht="18" hidden="false" customHeight="true" outlineLevel="0" collapsed="false">
      <c r="A5" s="5" t="s">
        <v>53</v>
      </c>
      <c r="B5" s="5" t="s">
        <v>183</v>
      </c>
      <c r="C5" s="5" t="s">
        <v>243</v>
      </c>
      <c r="D5" s="6" t="s">
        <v>239</v>
      </c>
      <c r="E5" s="5" t="s">
        <v>247</v>
      </c>
      <c r="F5" s="5" t="n">
        <v>22</v>
      </c>
      <c r="G5" s="5" t="s">
        <v>245</v>
      </c>
      <c r="H5" s="5" t="s">
        <v>248</v>
      </c>
      <c r="I5" s="19" t="s">
        <v>173</v>
      </c>
    </row>
    <row r="6" customFormat="false" ht="18" hidden="false" customHeight="true" outlineLevel="0" collapsed="false">
      <c r="A6" s="4" t="s">
        <v>58</v>
      </c>
      <c r="B6" s="4" t="s">
        <v>189</v>
      </c>
      <c r="C6" s="4" t="s">
        <v>249</v>
      </c>
      <c r="D6" s="8" t="s">
        <v>239</v>
      </c>
      <c r="E6" s="4" t="s">
        <v>250</v>
      </c>
      <c r="F6" s="4" t="n">
        <v>16</v>
      </c>
      <c r="G6" s="4" t="s">
        <v>251</v>
      </c>
      <c r="H6" s="4" t="s">
        <v>252</v>
      </c>
      <c r="I6" s="4" t="s">
        <v>185</v>
      </c>
    </row>
    <row r="7" customFormat="false" ht="18" hidden="false" customHeight="true" outlineLevel="0" collapsed="false">
      <c r="A7" s="5" t="s">
        <v>63</v>
      </c>
      <c r="B7" s="5" t="s">
        <v>203</v>
      </c>
      <c r="C7" s="5" t="s">
        <v>238</v>
      </c>
      <c r="D7" s="9" t="s">
        <v>77</v>
      </c>
      <c r="E7" s="5" t="s">
        <v>253</v>
      </c>
      <c r="F7" s="5" t="n">
        <v>14</v>
      </c>
      <c r="G7" s="5" t="s">
        <v>251</v>
      </c>
      <c r="H7" s="5" t="s">
        <v>254</v>
      </c>
      <c r="I7" s="5" t="s">
        <v>185</v>
      </c>
    </row>
    <row r="8" customFormat="false" ht="18" hidden="false" customHeight="true" outlineLevel="0" collapsed="false">
      <c r="A8" s="4" t="s">
        <v>194</v>
      </c>
      <c r="B8" s="4" t="s">
        <v>69</v>
      </c>
      <c r="C8" s="4" t="s">
        <v>238</v>
      </c>
      <c r="D8" s="8" t="s">
        <v>239</v>
      </c>
      <c r="E8" s="4" t="s">
        <v>247</v>
      </c>
      <c r="F8" s="4" t="n">
        <v>20</v>
      </c>
      <c r="G8" s="4" t="s">
        <v>251</v>
      </c>
      <c r="H8" s="4" t="s">
        <v>255</v>
      </c>
      <c r="I8" s="20" t="s">
        <v>173</v>
      </c>
    </row>
    <row r="9" customFormat="false" ht="18" hidden="false" customHeight="true" outlineLevel="0" collapsed="false">
      <c r="A9" s="5" t="s">
        <v>71</v>
      </c>
      <c r="B9" s="5" t="s">
        <v>72</v>
      </c>
      <c r="C9" s="5" t="s">
        <v>249</v>
      </c>
      <c r="D9" s="6" t="s">
        <v>239</v>
      </c>
      <c r="E9" s="5" t="s">
        <v>256</v>
      </c>
      <c r="F9" s="5" t="n">
        <v>12</v>
      </c>
      <c r="G9" s="5" t="s">
        <v>241</v>
      </c>
      <c r="H9" s="5" t="s">
        <v>257</v>
      </c>
      <c r="I9" s="19" t="s">
        <v>173</v>
      </c>
    </row>
    <row r="10" customFormat="false" ht="18" hidden="false" customHeight="true" outlineLevel="0" collapsed="false">
      <c r="A10" s="4" t="s">
        <v>75</v>
      </c>
      <c r="B10" s="4" t="s">
        <v>76</v>
      </c>
      <c r="C10" s="4" t="s">
        <v>243</v>
      </c>
      <c r="D10" s="10" t="s">
        <v>77</v>
      </c>
      <c r="E10" s="4" t="s">
        <v>247</v>
      </c>
      <c r="F10" s="4" t="n">
        <v>0</v>
      </c>
      <c r="G10" s="4" t="s">
        <v>77</v>
      </c>
      <c r="H10" s="4" t="s">
        <v>258</v>
      </c>
      <c r="I10" s="4" t="s">
        <v>185</v>
      </c>
    </row>
    <row r="11" customFormat="false" ht="18" hidden="false" customHeight="true" outlineLevel="0" collapsed="false">
      <c r="A11" s="5" t="s">
        <v>80</v>
      </c>
      <c r="B11" s="5" t="s">
        <v>81</v>
      </c>
      <c r="C11" s="5" t="s">
        <v>249</v>
      </c>
      <c r="D11" s="6" t="s">
        <v>239</v>
      </c>
      <c r="E11" s="5" t="s">
        <v>259</v>
      </c>
      <c r="F11" s="5" t="n">
        <v>15</v>
      </c>
      <c r="G11" s="5" t="s">
        <v>245</v>
      </c>
      <c r="H11" s="5" t="s">
        <v>260</v>
      </c>
      <c r="I11" s="19" t="s">
        <v>173</v>
      </c>
    </row>
    <row r="12" customFormat="false" ht="18" hidden="false" customHeight="true" outlineLevel="0" collapsed="false">
      <c r="A12" s="4" t="s">
        <v>83</v>
      </c>
      <c r="B12" s="4" t="s">
        <v>84</v>
      </c>
      <c r="C12" s="4" t="s">
        <v>238</v>
      </c>
      <c r="D12" s="8" t="s">
        <v>239</v>
      </c>
      <c r="E12" s="4" t="s">
        <v>261</v>
      </c>
      <c r="F12" s="4" t="n">
        <v>18</v>
      </c>
      <c r="G12" s="4" t="s">
        <v>251</v>
      </c>
      <c r="H12" s="4" t="s">
        <v>262</v>
      </c>
      <c r="I12" s="4" t="s">
        <v>185</v>
      </c>
    </row>
    <row r="13" customFormat="false" ht="18" hidden="false" customHeight="true" outlineLevel="0" collapsed="false">
      <c r="A13" s="5" t="s">
        <v>86</v>
      </c>
      <c r="B13" s="5" t="s">
        <v>87</v>
      </c>
      <c r="C13" s="5" t="s">
        <v>249</v>
      </c>
      <c r="D13" s="6" t="s">
        <v>239</v>
      </c>
      <c r="E13" s="5" t="s">
        <v>263</v>
      </c>
      <c r="F13" s="5" t="n">
        <v>10</v>
      </c>
      <c r="G13" s="5" t="s">
        <v>241</v>
      </c>
      <c r="H13" s="5" t="s">
        <v>264</v>
      </c>
      <c r="I13" s="19" t="s">
        <v>173</v>
      </c>
    </row>
    <row r="14" customFormat="false" ht="18" hidden="false" customHeight="true" outlineLevel="0" collapsed="false">
      <c r="A14" s="4" t="s">
        <v>93</v>
      </c>
      <c r="B14" s="4" t="s">
        <v>178</v>
      </c>
      <c r="C14" s="4" t="s">
        <v>249</v>
      </c>
      <c r="D14" s="8" t="s">
        <v>239</v>
      </c>
      <c r="E14" s="4" t="s">
        <v>240</v>
      </c>
      <c r="F14" s="4" t="n">
        <v>10</v>
      </c>
      <c r="G14" s="4" t="s">
        <v>241</v>
      </c>
      <c r="H14" s="4" t="s">
        <v>265</v>
      </c>
      <c r="I14" s="20" t="s">
        <v>173</v>
      </c>
    </row>
    <row r="15" customFormat="false" ht="18" hidden="false" customHeight="true" outlineLevel="0" collapsed="false">
      <c r="A15" s="5" t="s">
        <v>96</v>
      </c>
      <c r="B15" s="5" t="s">
        <v>69</v>
      </c>
      <c r="C15" s="5" t="s">
        <v>243</v>
      </c>
      <c r="D15" s="6" t="s">
        <v>239</v>
      </c>
      <c r="E15" s="5" t="s">
        <v>247</v>
      </c>
      <c r="F15" s="5" t="n">
        <v>17</v>
      </c>
      <c r="G15" s="5" t="s">
        <v>245</v>
      </c>
      <c r="H15" s="5" t="s">
        <v>266</v>
      </c>
      <c r="I15" s="19" t="s">
        <v>173</v>
      </c>
    </row>
    <row r="16" customFormat="false" ht="18" hidden="false" customHeight="true" outlineLevel="0" collapsed="false">
      <c r="A16" s="4" t="s">
        <v>98</v>
      </c>
      <c r="B16" s="4" t="s">
        <v>84</v>
      </c>
      <c r="C16" s="4" t="s">
        <v>267</v>
      </c>
      <c r="D16" s="8" t="s">
        <v>239</v>
      </c>
      <c r="E16" s="4" t="s">
        <v>261</v>
      </c>
      <c r="F16" s="4" t="n">
        <v>20</v>
      </c>
      <c r="G16" s="4" t="s">
        <v>251</v>
      </c>
      <c r="H16" s="4" t="s">
        <v>268</v>
      </c>
      <c r="I16" s="4" t="s">
        <v>185</v>
      </c>
    </row>
    <row r="17" customFormat="false" ht="18" hidden="false" customHeight="true" outlineLevel="0" collapsed="false">
      <c r="A17" s="5" t="s">
        <v>90</v>
      </c>
      <c r="B17" s="5" t="s">
        <v>227</v>
      </c>
      <c r="C17" s="5" t="s">
        <v>249</v>
      </c>
      <c r="D17" s="6" t="s">
        <v>239</v>
      </c>
      <c r="E17" s="5" t="s">
        <v>261</v>
      </c>
      <c r="F17" s="5" t="n">
        <v>13</v>
      </c>
      <c r="G17" s="5" t="s">
        <v>251</v>
      </c>
      <c r="H17" s="5" t="s">
        <v>269</v>
      </c>
      <c r="I17" s="5" t="s">
        <v>185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2026-05-31T18:54:18Z</dcterms:created>
  <dc:creator>openpyxl</dc:creator>
  <dc:description/>
  <dc:language>en-US</dc:language>
  <cp:lastModifiedBy/>
  <dcterms:modified xsi:type="dcterms:W3CDTF">2026-05-31T18:54:18Z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