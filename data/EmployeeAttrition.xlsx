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Attrition Data" sheetId="1" state="visible" r:id="rId1"/>
    <sheet xmlns:r="http://schemas.openxmlformats.org/officeDocument/2006/relationships" name="Attrition Dashboard" sheetId="2" state="visible" r:id="rId2"/>
    <sheet xmlns:r="http://schemas.openxmlformats.org/officeDocument/2006/relationships" name="Monthly Trend &amp; Exit Reasons" sheetId="3" state="visible" r:id="rId3"/>
    <sheet xmlns:r="http://schemas.openxmlformats.org/officeDocument/2006/relationships" name="High Risk - Active Employees" sheetId="4" state="visible" r:id="rId4"/>
    <sheet xmlns:r="http://schemas.openxmlformats.org/officeDocument/2006/relationships" name="HRBP Scorec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sz val="10"/>
    </font>
    <font>
      <name val="Arial"/>
      <b val="1"/>
      <color rgb="007F4E19"/>
      <sz val="10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2" fillId="5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  <xf numFmtId="0" fontId="4" fillId="0" borderId="0" pivotButton="0" quotePrefix="0" xfId="0"/>
    <xf numFmtId="10" fontId="2" fillId="3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" customWidth="1" min="3" max="3"/>
    <col width="20" customWidth="1" min="4" max="4"/>
    <col width="12" customWidth="1" min="5" max="5"/>
    <col width="14" customWidth="1" min="6" max="6"/>
    <col width="10" customWidth="1" min="7" max="7"/>
    <col width="10" customWidth="1" min="8" max="8"/>
    <col width="10" customWidth="1" min="9" max="9"/>
    <col width="14" customWidth="1" min="10" max="10"/>
    <col width="14" customWidth="1" min="11" max="11"/>
    <col width="12" customWidth="1" min="12" max="12"/>
    <col width="12" customWidth="1" min="13" max="13"/>
    <col width="14" customWidth="1" min="14" max="14"/>
    <col width="10" customWidth="1" min="15" max="15"/>
    <col width="12" customWidth="1" min="16" max="16"/>
    <col width="22" customWidth="1" min="17" max="17"/>
    <col width="12" customWidth="1" min="18" max="18"/>
  </cols>
  <sheetData>
    <row r="1" ht="40" customHeight="1">
      <c r="A1" s="1" t="inlineStr">
        <is>
          <t>Emp ID</t>
        </is>
      </c>
      <c r="B1" s="1" t="inlineStr">
        <is>
          <t>Employee Name</t>
        </is>
      </c>
      <c r="C1" s="1" t="inlineStr">
        <is>
          <t>Grade</t>
        </is>
      </c>
      <c r="D1" s="1" t="inlineStr">
        <is>
          <t>Department</t>
        </is>
      </c>
      <c r="E1" s="1" t="inlineStr">
        <is>
          <t>Location</t>
        </is>
      </c>
      <c r="F1" s="1" t="inlineStr">
        <is>
          <t>Date of Joining</t>
        </is>
      </c>
      <c r="G1" s="1" t="inlineStr">
        <is>
          <t>Years of Tenure</t>
        </is>
      </c>
      <c r="H1" s="1" t="inlineStr">
        <is>
          <t>Last Performance Rating</t>
        </is>
      </c>
      <c r="I1" s="1" t="inlineStr">
        <is>
          <t>Engagement Score (1-5)</t>
        </is>
      </c>
      <c r="J1" s="1" t="inlineStr">
        <is>
          <t>Engagement Category</t>
        </is>
      </c>
      <c r="K1" s="1" t="inlineStr">
        <is>
          <t>Salary Band (₹L PA)</t>
        </is>
      </c>
      <c r="L1" s="1" t="inlineStr">
        <is>
          <t>Promotions in Last 3 Yrs</t>
        </is>
      </c>
      <c r="M1" s="1" t="inlineStr">
        <is>
          <t>Manager Rating</t>
        </is>
      </c>
      <c r="N1" s="1" t="inlineStr">
        <is>
          <t>Absenteeism Days (YTD)</t>
        </is>
      </c>
      <c r="O1" s="1" t="inlineStr">
        <is>
          <t>Status</t>
        </is>
      </c>
      <c r="P1" s="1" t="inlineStr">
        <is>
          <t>Exit Month</t>
        </is>
      </c>
      <c r="Q1" s="1" t="inlineStr">
        <is>
          <t>Exit Reason</t>
        </is>
      </c>
      <c r="R1" s="1" t="inlineStr">
        <is>
          <t>Risk Flag</t>
        </is>
      </c>
    </row>
    <row r="2">
      <c r="A2" s="2" t="inlineStr">
        <is>
          <t>BFL10001</t>
        </is>
      </c>
      <c r="B2" s="3" t="inlineStr">
        <is>
          <t>Deepa Sharma</t>
        </is>
      </c>
      <c r="C2" s="2" t="inlineStr">
        <is>
          <t>M3</t>
        </is>
      </c>
      <c r="D2" s="2" t="inlineStr">
        <is>
          <t>Risk &amp; Compliance</t>
        </is>
      </c>
      <c r="E2" s="2" t="inlineStr">
        <is>
          <t>Pune</t>
        </is>
      </c>
      <c r="F2" s="2" t="inlineStr">
        <is>
          <t>2017-12-01</t>
        </is>
      </c>
      <c r="G2" s="2" t="n">
        <v>2.4</v>
      </c>
      <c r="H2" s="2" t="n">
        <v>3</v>
      </c>
      <c r="I2" s="2" t="n">
        <v>3.6</v>
      </c>
      <c r="J2" s="2" t="inlineStr">
        <is>
          <t>Medium</t>
        </is>
      </c>
      <c r="K2" s="2" t="n">
        <v>11</v>
      </c>
      <c r="L2" s="2" t="n">
        <v>0</v>
      </c>
      <c r="M2" s="2" t="n">
        <v>2.3</v>
      </c>
      <c r="N2" s="2" t="n">
        <v>7</v>
      </c>
      <c r="O2" s="4" t="inlineStr">
        <is>
          <t>Active</t>
        </is>
      </c>
      <c r="P2" s="2" t="inlineStr"/>
      <c r="Q2" s="2" t="inlineStr"/>
      <c r="R2" s="4" t="inlineStr">
        <is>
          <t>Low Risk</t>
        </is>
      </c>
    </row>
    <row r="3">
      <c r="A3" s="5" t="inlineStr">
        <is>
          <t>BFL10002</t>
        </is>
      </c>
      <c r="B3" s="6" t="inlineStr">
        <is>
          <t>Sachin Sharma</t>
        </is>
      </c>
      <c r="C3" s="5" t="inlineStr">
        <is>
          <t>M5</t>
        </is>
      </c>
      <c r="D3" s="5" t="inlineStr">
        <is>
          <t>Risk &amp; Compliance</t>
        </is>
      </c>
      <c r="E3" s="5" t="inlineStr">
        <is>
          <t>Hyderabad</t>
        </is>
      </c>
      <c r="F3" s="5" t="inlineStr">
        <is>
          <t>2023-07-01</t>
        </is>
      </c>
      <c r="G3" s="5" t="n">
        <v>8</v>
      </c>
      <c r="H3" s="5" t="n">
        <v>5</v>
      </c>
      <c r="I3" s="5" t="n">
        <v>4.3</v>
      </c>
      <c r="J3" s="5" t="inlineStr">
        <is>
          <t>High</t>
        </is>
      </c>
      <c r="K3" s="5" t="n">
        <v>27</v>
      </c>
      <c r="L3" s="5" t="n">
        <v>0</v>
      </c>
      <c r="M3" s="5" t="n">
        <v>4.1</v>
      </c>
      <c r="N3" s="5" t="n">
        <v>10</v>
      </c>
      <c r="O3" s="7" t="inlineStr">
        <is>
          <t>Attrited</t>
        </is>
      </c>
      <c r="P3" s="5" t="inlineStr">
        <is>
          <t>Jun 2025</t>
        </is>
      </c>
      <c r="Q3" s="5" t="inlineStr">
        <is>
          <t>Career Growth</t>
        </is>
      </c>
      <c r="R3" s="5" t="inlineStr">
        <is>
          <t>—</t>
        </is>
      </c>
    </row>
    <row r="4">
      <c r="A4" s="2" t="inlineStr">
        <is>
          <t>BFL10003</t>
        </is>
      </c>
      <c r="B4" s="3" t="inlineStr">
        <is>
          <t>Rekha Verma</t>
        </is>
      </c>
      <c r="C4" s="2" t="inlineStr">
        <is>
          <t>M1</t>
        </is>
      </c>
      <c r="D4" s="2" t="inlineStr">
        <is>
          <t>Customer Experience</t>
        </is>
      </c>
      <c r="E4" s="2" t="inlineStr">
        <is>
          <t>Mumbai</t>
        </is>
      </c>
      <c r="F4" s="2" t="inlineStr">
        <is>
          <t>2020-06-01</t>
        </is>
      </c>
      <c r="G4" s="2" t="n">
        <v>1.2</v>
      </c>
      <c r="H4" s="2" t="n">
        <v>3</v>
      </c>
      <c r="I4" s="2" t="n">
        <v>4.1</v>
      </c>
      <c r="J4" s="2" t="inlineStr">
        <is>
          <t>High</t>
        </is>
      </c>
      <c r="K4" s="2" t="n">
        <v>3</v>
      </c>
      <c r="L4" s="2" t="n">
        <v>1</v>
      </c>
      <c r="M4" s="2" t="n">
        <v>2.2</v>
      </c>
      <c r="N4" s="2" t="n">
        <v>9</v>
      </c>
      <c r="O4" s="4" t="inlineStr">
        <is>
          <t>Active</t>
        </is>
      </c>
      <c r="P4" s="2" t="inlineStr"/>
      <c r="Q4" s="2" t="inlineStr"/>
      <c r="R4" s="8" t="inlineStr">
        <is>
          <t>Medium Risk</t>
        </is>
      </c>
    </row>
    <row r="5">
      <c r="A5" s="5" t="inlineStr">
        <is>
          <t>BFL10004</t>
        </is>
      </c>
      <c r="B5" s="6" t="inlineStr">
        <is>
          <t>Preeti Iyer</t>
        </is>
      </c>
      <c r="C5" s="5" t="inlineStr">
        <is>
          <t>M5</t>
        </is>
      </c>
      <c r="D5" s="5" t="inlineStr">
        <is>
          <t>Risk &amp; Compliance</t>
        </is>
      </c>
      <c r="E5" s="5" t="inlineStr">
        <is>
          <t>Hyderabad</t>
        </is>
      </c>
      <c r="F5" s="5" t="inlineStr">
        <is>
          <t>2016-01-01</t>
        </is>
      </c>
      <c r="G5" s="5" t="n">
        <v>12</v>
      </c>
      <c r="H5" s="5" t="n">
        <v>5</v>
      </c>
      <c r="I5" s="5" t="n">
        <v>4.9</v>
      </c>
      <c r="J5" s="5" t="inlineStr">
        <is>
          <t>High</t>
        </is>
      </c>
      <c r="K5" s="5" t="n">
        <v>28</v>
      </c>
      <c r="L5" s="5" t="n">
        <v>0</v>
      </c>
      <c r="M5" s="5" t="n">
        <v>3.1</v>
      </c>
      <c r="N5" s="5" t="n">
        <v>14</v>
      </c>
      <c r="O5" s="7" t="inlineStr">
        <is>
          <t>Attrited</t>
        </is>
      </c>
      <c r="P5" s="5" t="inlineStr">
        <is>
          <t>Sep 2025</t>
        </is>
      </c>
      <c r="Q5" s="5" t="inlineStr">
        <is>
          <t>Work-Life Balance</t>
        </is>
      </c>
      <c r="R5" s="5" t="inlineStr">
        <is>
          <t>—</t>
        </is>
      </c>
    </row>
    <row r="6">
      <c r="A6" s="2" t="inlineStr">
        <is>
          <t>BFL10005</t>
        </is>
      </c>
      <c r="B6" s="3" t="inlineStr">
        <is>
          <t>Shweta Iyer</t>
        </is>
      </c>
      <c r="C6" s="2" t="inlineStr">
        <is>
          <t>M2</t>
        </is>
      </c>
      <c r="D6" s="2" t="inlineStr">
        <is>
          <t>HR</t>
        </is>
      </c>
      <c r="E6" s="2" t="inlineStr">
        <is>
          <t>Hyderabad</t>
        </is>
      </c>
      <c r="F6" s="2" t="inlineStr">
        <is>
          <t>2016-10-01</t>
        </is>
      </c>
      <c r="G6" s="2" t="n">
        <v>2.9</v>
      </c>
      <c r="H6" s="2" t="n">
        <v>4</v>
      </c>
      <c r="I6" s="2" t="n">
        <v>2.1</v>
      </c>
      <c r="J6" s="2" t="inlineStr">
        <is>
          <t>Low</t>
        </is>
      </c>
      <c r="K6" s="2" t="n">
        <v>9</v>
      </c>
      <c r="L6" s="2" t="n">
        <v>0</v>
      </c>
      <c r="M6" s="2" t="n">
        <v>5</v>
      </c>
      <c r="N6" s="2" t="n">
        <v>20</v>
      </c>
      <c r="O6" s="7" t="inlineStr">
        <is>
          <t>Attrited</t>
        </is>
      </c>
      <c r="P6" s="2" t="inlineStr">
        <is>
          <t>Dec 2025</t>
        </is>
      </c>
      <c r="Q6" s="2" t="inlineStr">
        <is>
          <t>Career Growth</t>
        </is>
      </c>
      <c r="R6" s="2" t="inlineStr">
        <is>
          <t>—</t>
        </is>
      </c>
    </row>
    <row r="7">
      <c r="A7" s="5" t="inlineStr">
        <is>
          <t>BFL10006</t>
        </is>
      </c>
      <c r="B7" s="6" t="inlineStr">
        <is>
          <t>Ashish Patil</t>
        </is>
      </c>
      <c r="C7" s="5" t="inlineStr">
        <is>
          <t>M2</t>
        </is>
      </c>
      <c r="D7" s="5" t="inlineStr">
        <is>
          <t>Sales</t>
        </is>
      </c>
      <c r="E7" s="5" t="inlineStr">
        <is>
          <t>Ahmedabad</t>
        </is>
      </c>
      <c r="F7" s="5" t="inlineStr">
        <is>
          <t>2020-07-01</t>
        </is>
      </c>
      <c r="G7" s="5" t="n">
        <v>1.8</v>
      </c>
      <c r="H7" s="5" t="n">
        <v>4</v>
      </c>
      <c r="I7" s="5" t="n">
        <v>4.7</v>
      </c>
      <c r="J7" s="5" t="inlineStr">
        <is>
          <t>High</t>
        </is>
      </c>
      <c r="K7" s="5" t="n">
        <v>8</v>
      </c>
      <c r="L7" s="5" t="n">
        <v>0</v>
      </c>
      <c r="M7" s="5" t="n">
        <v>4</v>
      </c>
      <c r="N7" s="5" t="n">
        <v>12</v>
      </c>
      <c r="O7" s="4" t="inlineStr">
        <is>
          <t>Active</t>
        </is>
      </c>
      <c r="P7" s="5" t="inlineStr"/>
      <c r="Q7" s="5" t="inlineStr"/>
      <c r="R7" s="8" t="inlineStr">
        <is>
          <t>Medium Risk</t>
        </is>
      </c>
    </row>
    <row r="8">
      <c r="A8" s="2" t="inlineStr">
        <is>
          <t>BFL10007</t>
        </is>
      </c>
      <c r="B8" s="3" t="inlineStr">
        <is>
          <t>Usha Joshi</t>
        </is>
      </c>
      <c r="C8" s="2" t="inlineStr">
        <is>
          <t>M3</t>
        </is>
      </c>
      <c r="D8" s="2" t="inlineStr">
        <is>
          <t>Technology</t>
        </is>
      </c>
      <c r="E8" s="2" t="inlineStr">
        <is>
          <t>Pune</t>
        </is>
      </c>
      <c r="F8" s="2" t="inlineStr">
        <is>
          <t>2023-09-01</t>
        </is>
      </c>
      <c r="G8" s="2" t="n">
        <v>3.1</v>
      </c>
      <c r="H8" s="2" t="n">
        <v>2</v>
      </c>
      <c r="I8" s="2" t="n">
        <v>4.6</v>
      </c>
      <c r="J8" s="2" t="inlineStr">
        <is>
          <t>High</t>
        </is>
      </c>
      <c r="K8" s="2" t="n">
        <v>14</v>
      </c>
      <c r="L8" s="2" t="n">
        <v>0</v>
      </c>
      <c r="M8" s="2" t="n">
        <v>2.7</v>
      </c>
      <c r="N8" s="2" t="n">
        <v>4</v>
      </c>
      <c r="O8" s="7" t="inlineStr">
        <is>
          <t>Attrited</t>
        </is>
      </c>
      <c r="P8" s="2" t="inlineStr">
        <is>
          <t>Nov 2025</t>
        </is>
      </c>
      <c r="Q8" s="2" t="inlineStr">
        <is>
          <t>Higher Salary</t>
        </is>
      </c>
      <c r="R8" s="2" t="inlineStr">
        <is>
          <t>—</t>
        </is>
      </c>
    </row>
    <row r="9">
      <c r="A9" s="5" t="inlineStr">
        <is>
          <t>BFL10008</t>
        </is>
      </c>
      <c r="B9" s="6" t="inlineStr">
        <is>
          <t>Sunita Verma</t>
        </is>
      </c>
      <c r="C9" s="5" t="inlineStr">
        <is>
          <t>M2</t>
        </is>
      </c>
      <c r="D9" s="5" t="inlineStr">
        <is>
          <t>Technology</t>
        </is>
      </c>
      <c r="E9" s="5" t="inlineStr">
        <is>
          <t>Ahmedabad</t>
        </is>
      </c>
      <c r="F9" s="5" t="inlineStr">
        <is>
          <t>2021-10-01</t>
        </is>
      </c>
      <c r="G9" s="5" t="n">
        <v>1.2</v>
      </c>
      <c r="H9" s="5" t="n">
        <v>2</v>
      </c>
      <c r="I9" s="5" t="n">
        <v>3.6</v>
      </c>
      <c r="J9" s="5" t="inlineStr">
        <is>
          <t>Medium</t>
        </is>
      </c>
      <c r="K9" s="5" t="n">
        <v>9</v>
      </c>
      <c r="L9" s="5" t="n">
        <v>1</v>
      </c>
      <c r="M9" s="5" t="n">
        <v>2.8</v>
      </c>
      <c r="N9" s="5" t="n">
        <v>17</v>
      </c>
      <c r="O9" s="4" t="inlineStr">
        <is>
          <t>Active</t>
        </is>
      </c>
      <c r="P9" s="5" t="inlineStr"/>
      <c r="Q9" s="5" t="inlineStr"/>
      <c r="R9" s="7" t="inlineStr">
        <is>
          <t>High Risk</t>
        </is>
      </c>
    </row>
    <row r="10">
      <c r="A10" s="2" t="inlineStr">
        <is>
          <t>BFL10009</t>
        </is>
      </c>
      <c r="B10" s="3" t="inlineStr">
        <is>
          <t>Rohan Verma</t>
        </is>
      </c>
      <c r="C10" s="2" t="inlineStr">
        <is>
          <t>M5</t>
        </is>
      </c>
      <c r="D10" s="2" t="inlineStr">
        <is>
          <t>HR</t>
        </is>
      </c>
      <c r="E10" s="2" t="inlineStr">
        <is>
          <t>Ahmedabad</t>
        </is>
      </c>
      <c r="F10" s="2" t="inlineStr">
        <is>
          <t>2020-02-01</t>
        </is>
      </c>
      <c r="G10" s="2" t="n">
        <v>8.6</v>
      </c>
      <c r="H10" s="2" t="n">
        <v>4</v>
      </c>
      <c r="I10" s="2" t="n">
        <v>3.1</v>
      </c>
      <c r="J10" s="2" t="inlineStr">
        <is>
          <t>Medium</t>
        </is>
      </c>
      <c r="K10" s="2" t="n">
        <v>29</v>
      </c>
      <c r="L10" s="2" t="n">
        <v>1</v>
      </c>
      <c r="M10" s="2" t="n">
        <v>4.3</v>
      </c>
      <c r="N10" s="2" t="n">
        <v>16</v>
      </c>
      <c r="O10" s="7" t="inlineStr">
        <is>
          <t>Attrited</t>
        </is>
      </c>
      <c r="P10" s="2" t="inlineStr">
        <is>
          <t>Feb 2026</t>
        </is>
      </c>
      <c r="Q10" s="2" t="inlineStr">
        <is>
          <t>Relocation</t>
        </is>
      </c>
      <c r="R10" s="2" t="inlineStr">
        <is>
          <t>—</t>
        </is>
      </c>
    </row>
    <row r="11">
      <c r="A11" s="5" t="inlineStr">
        <is>
          <t>BFL10010</t>
        </is>
      </c>
      <c r="B11" s="6" t="inlineStr">
        <is>
          <t>Ajay Bose</t>
        </is>
      </c>
      <c r="C11" s="5" t="inlineStr">
        <is>
          <t>M2</t>
        </is>
      </c>
      <c r="D11" s="5" t="inlineStr">
        <is>
          <t>Technology</t>
        </is>
      </c>
      <c r="E11" s="5" t="inlineStr">
        <is>
          <t>Delhi</t>
        </is>
      </c>
      <c r="F11" s="5" t="inlineStr">
        <is>
          <t>2017-09-01</t>
        </is>
      </c>
      <c r="G11" s="5" t="n">
        <v>3.9</v>
      </c>
      <c r="H11" s="5" t="n">
        <v>3</v>
      </c>
      <c r="I11" s="5" t="n">
        <v>3.6</v>
      </c>
      <c r="J11" s="5" t="inlineStr">
        <is>
          <t>Medium</t>
        </is>
      </c>
      <c r="K11" s="5" t="n">
        <v>9</v>
      </c>
      <c r="L11" s="5" t="n">
        <v>0</v>
      </c>
      <c r="M11" s="5" t="n">
        <v>2.3</v>
      </c>
      <c r="N11" s="5" t="n">
        <v>11</v>
      </c>
      <c r="O11" s="7" t="inlineStr">
        <is>
          <t>Attrited</t>
        </is>
      </c>
      <c r="P11" s="5" t="inlineStr">
        <is>
          <t>Aug 2025</t>
        </is>
      </c>
      <c r="Q11" s="5" t="inlineStr">
        <is>
          <t>Career Growth</t>
        </is>
      </c>
      <c r="R11" s="5" t="inlineStr">
        <is>
          <t>—</t>
        </is>
      </c>
    </row>
    <row r="12">
      <c r="A12" s="2" t="inlineStr">
        <is>
          <t>BFL10011</t>
        </is>
      </c>
      <c r="B12" s="3" t="inlineStr">
        <is>
          <t>Sunita Rao</t>
        </is>
      </c>
      <c r="C12" s="2" t="inlineStr">
        <is>
          <t>M5</t>
        </is>
      </c>
      <c r="D12" s="2" t="inlineStr">
        <is>
          <t>Operations</t>
        </is>
      </c>
      <c r="E12" s="2" t="inlineStr">
        <is>
          <t>Mumbai</t>
        </is>
      </c>
      <c r="F12" s="2" t="inlineStr">
        <is>
          <t>2022-02-01</t>
        </is>
      </c>
      <c r="G12" s="2" t="n">
        <v>14.8</v>
      </c>
      <c r="H12" s="2" t="n">
        <v>4</v>
      </c>
      <c r="I12" s="2" t="n">
        <v>1.9</v>
      </c>
      <c r="J12" s="2" t="inlineStr">
        <is>
          <t>Very Low</t>
        </is>
      </c>
      <c r="K12" s="2" t="n">
        <v>30</v>
      </c>
      <c r="L12" s="2" t="n">
        <v>1</v>
      </c>
      <c r="M12" s="2" t="n">
        <v>2.5</v>
      </c>
      <c r="N12" s="2" t="n">
        <v>16</v>
      </c>
      <c r="O12" s="7" t="inlineStr">
        <is>
          <t>Attrited</t>
        </is>
      </c>
      <c r="P12" s="2" t="inlineStr">
        <is>
          <t>Jan 2026</t>
        </is>
      </c>
      <c r="Q12" s="2" t="inlineStr">
        <is>
          <t>Toxic Manager</t>
        </is>
      </c>
      <c r="R12" s="2" t="inlineStr">
        <is>
          <t>—</t>
        </is>
      </c>
    </row>
    <row r="13">
      <c r="A13" s="5" t="inlineStr">
        <is>
          <t>BFL10012</t>
        </is>
      </c>
      <c r="B13" s="6" t="inlineStr">
        <is>
          <t>Pooja Tiwari</t>
        </is>
      </c>
      <c r="C13" s="5" t="inlineStr">
        <is>
          <t>M2</t>
        </is>
      </c>
      <c r="D13" s="5" t="inlineStr">
        <is>
          <t>HR</t>
        </is>
      </c>
      <c r="E13" s="5" t="inlineStr">
        <is>
          <t>Bangalore</t>
        </is>
      </c>
      <c r="F13" s="5" t="inlineStr">
        <is>
          <t>2020-08-01</t>
        </is>
      </c>
      <c r="G13" s="5" t="n">
        <v>3.7</v>
      </c>
      <c r="H13" s="5" t="n">
        <v>3</v>
      </c>
      <c r="I13" s="5" t="n">
        <v>1.9</v>
      </c>
      <c r="J13" s="5" t="inlineStr">
        <is>
          <t>Very Low</t>
        </is>
      </c>
      <c r="K13" s="5" t="n">
        <v>7</v>
      </c>
      <c r="L13" s="5" t="n">
        <v>0</v>
      </c>
      <c r="M13" s="5" t="n">
        <v>3</v>
      </c>
      <c r="N13" s="5" t="n">
        <v>18</v>
      </c>
      <c r="O13" s="7" t="inlineStr">
        <is>
          <t>Attrited</t>
        </is>
      </c>
      <c r="P13" s="5" t="inlineStr">
        <is>
          <t>Jul 2025</t>
        </is>
      </c>
      <c r="Q13" s="5" t="inlineStr">
        <is>
          <t>Career Growth</t>
        </is>
      </c>
      <c r="R13" s="5" t="inlineStr">
        <is>
          <t>—</t>
        </is>
      </c>
    </row>
    <row r="14">
      <c r="A14" s="2" t="inlineStr">
        <is>
          <t>BFL10013</t>
        </is>
      </c>
      <c r="B14" s="3" t="inlineStr">
        <is>
          <t>Rohan Mehta</t>
        </is>
      </c>
      <c r="C14" s="2" t="inlineStr">
        <is>
          <t>M1</t>
        </is>
      </c>
      <c r="D14" s="2" t="inlineStr">
        <is>
          <t>Risk &amp; Compliance</t>
        </is>
      </c>
      <c r="E14" s="2" t="inlineStr">
        <is>
          <t>Mumbai</t>
        </is>
      </c>
      <c r="F14" s="2" t="inlineStr">
        <is>
          <t>2015-06-01</t>
        </is>
      </c>
      <c r="G14" s="2" t="n">
        <v>0.1</v>
      </c>
      <c r="H14" s="2" t="n">
        <v>4</v>
      </c>
      <c r="I14" s="2" t="n">
        <v>2.5</v>
      </c>
      <c r="J14" s="2" t="inlineStr">
        <is>
          <t>Low</t>
        </is>
      </c>
      <c r="K14" s="2" t="n">
        <v>6</v>
      </c>
      <c r="L14" s="2" t="n">
        <v>0</v>
      </c>
      <c r="M14" s="2" t="n">
        <v>3.6</v>
      </c>
      <c r="N14" s="2" t="n">
        <v>18</v>
      </c>
      <c r="O14" s="4" t="inlineStr">
        <is>
          <t>Active</t>
        </is>
      </c>
      <c r="P14" s="2" t="inlineStr"/>
      <c r="Q14" s="2" t="inlineStr"/>
      <c r="R14" s="7" t="inlineStr">
        <is>
          <t>High Risk</t>
        </is>
      </c>
    </row>
    <row r="15">
      <c r="A15" s="5" t="inlineStr">
        <is>
          <t>BFL10014</t>
        </is>
      </c>
      <c r="B15" s="6" t="inlineStr">
        <is>
          <t>Vivek Rao</t>
        </is>
      </c>
      <c r="C15" s="5" t="inlineStr">
        <is>
          <t>M4</t>
        </is>
      </c>
      <c r="D15" s="5" t="inlineStr">
        <is>
          <t>Customer Experience</t>
        </is>
      </c>
      <c r="E15" s="5" t="inlineStr">
        <is>
          <t>Pune</t>
        </is>
      </c>
      <c r="F15" s="5" t="inlineStr">
        <is>
          <t>2016-02-01</t>
        </is>
      </c>
      <c r="G15" s="5" t="n">
        <v>8</v>
      </c>
      <c r="H15" s="5" t="n">
        <v>2</v>
      </c>
      <c r="I15" s="5" t="n">
        <v>3</v>
      </c>
      <c r="J15" s="5" t="inlineStr">
        <is>
          <t>Medium</t>
        </is>
      </c>
      <c r="K15" s="5" t="n">
        <v>20</v>
      </c>
      <c r="L15" s="5" t="n">
        <v>2</v>
      </c>
      <c r="M15" s="5" t="n">
        <v>2.2</v>
      </c>
      <c r="N15" s="5" t="n">
        <v>20</v>
      </c>
      <c r="O15" s="4" t="inlineStr">
        <is>
          <t>Active</t>
        </is>
      </c>
      <c r="P15" s="5" t="inlineStr"/>
      <c r="Q15" s="5" t="inlineStr"/>
      <c r="R15" s="7" t="inlineStr">
        <is>
          <t>High Risk</t>
        </is>
      </c>
    </row>
    <row r="16">
      <c r="A16" s="2" t="inlineStr">
        <is>
          <t>BFL10015</t>
        </is>
      </c>
      <c r="B16" s="3" t="inlineStr">
        <is>
          <t>Ankit Patil</t>
        </is>
      </c>
      <c r="C16" s="2" t="inlineStr">
        <is>
          <t>M4</t>
        </is>
      </c>
      <c r="D16" s="2" t="inlineStr">
        <is>
          <t>Finance</t>
        </is>
      </c>
      <c r="E16" s="2" t="inlineStr">
        <is>
          <t>Ahmedabad</t>
        </is>
      </c>
      <c r="F16" s="2" t="inlineStr">
        <is>
          <t>2016-04-01</t>
        </is>
      </c>
      <c r="G16" s="2" t="n">
        <v>5.1</v>
      </c>
      <c r="H16" s="2" t="n">
        <v>3</v>
      </c>
      <c r="I16" s="2" t="n">
        <v>2</v>
      </c>
      <c r="J16" s="2" t="inlineStr">
        <is>
          <t>Low</t>
        </is>
      </c>
      <c r="K16" s="2" t="n">
        <v>18</v>
      </c>
      <c r="L16" s="2" t="n">
        <v>0</v>
      </c>
      <c r="M16" s="2" t="n">
        <v>3.4</v>
      </c>
      <c r="N16" s="2" t="n">
        <v>2</v>
      </c>
      <c r="O16" s="7" t="inlineStr">
        <is>
          <t>Attrited</t>
        </is>
      </c>
      <c r="P16" s="2" t="inlineStr">
        <is>
          <t>Dec 2025</t>
        </is>
      </c>
      <c r="Q16" s="2" t="inlineStr">
        <is>
          <t>Higher Salary</t>
        </is>
      </c>
      <c r="R16" s="2" t="inlineStr">
        <is>
          <t>—</t>
        </is>
      </c>
    </row>
    <row r="17">
      <c r="A17" s="5" t="inlineStr">
        <is>
          <t>BFL10016</t>
        </is>
      </c>
      <c r="B17" s="6" t="inlineStr">
        <is>
          <t>Sunita Tiwari</t>
        </is>
      </c>
      <c r="C17" s="5" t="inlineStr">
        <is>
          <t>M1</t>
        </is>
      </c>
      <c r="D17" s="5" t="inlineStr">
        <is>
          <t>Operations</t>
        </is>
      </c>
      <c r="E17" s="5" t="inlineStr">
        <is>
          <t>Ahmedabad</t>
        </is>
      </c>
      <c r="F17" s="5" t="inlineStr">
        <is>
          <t>2018-03-01</t>
        </is>
      </c>
      <c r="G17" s="5" t="n">
        <v>0.8</v>
      </c>
      <c r="H17" s="5" t="n">
        <v>3</v>
      </c>
      <c r="I17" s="5" t="n">
        <v>2.2</v>
      </c>
      <c r="J17" s="5" t="inlineStr">
        <is>
          <t>Low</t>
        </is>
      </c>
      <c r="K17" s="5" t="n">
        <v>6</v>
      </c>
      <c r="L17" s="5" t="n">
        <v>0</v>
      </c>
      <c r="M17" s="5" t="n">
        <v>2.5</v>
      </c>
      <c r="N17" s="5" t="n">
        <v>0</v>
      </c>
      <c r="O17" s="7" t="inlineStr">
        <is>
          <t>Attrited</t>
        </is>
      </c>
      <c r="P17" s="5" t="inlineStr">
        <is>
          <t>Aug 2025</t>
        </is>
      </c>
      <c r="Q17" s="5" t="inlineStr">
        <is>
          <t>No Growth</t>
        </is>
      </c>
      <c r="R17" s="5" t="inlineStr">
        <is>
          <t>—</t>
        </is>
      </c>
    </row>
    <row r="18">
      <c r="A18" s="2" t="inlineStr">
        <is>
          <t>BFL10017</t>
        </is>
      </c>
      <c r="B18" s="3" t="inlineStr">
        <is>
          <t>Manoj Shah</t>
        </is>
      </c>
      <c r="C18" s="2" t="inlineStr">
        <is>
          <t>M5</t>
        </is>
      </c>
      <c r="D18" s="2" t="inlineStr">
        <is>
          <t>Collections</t>
        </is>
      </c>
      <c r="E18" s="2" t="inlineStr">
        <is>
          <t>Pune</t>
        </is>
      </c>
      <c r="F18" s="2" t="inlineStr">
        <is>
          <t>2018-05-01</t>
        </is>
      </c>
      <c r="G18" s="2" t="n">
        <v>8</v>
      </c>
      <c r="H18" s="2" t="n">
        <v>3</v>
      </c>
      <c r="I18" s="2" t="n">
        <v>3.5</v>
      </c>
      <c r="J18" s="2" t="inlineStr">
        <is>
          <t>Medium</t>
        </is>
      </c>
      <c r="K18" s="2" t="n">
        <v>27</v>
      </c>
      <c r="L18" s="2" t="n">
        <v>2</v>
      </c>
      <c r="M18" s="2" t="n">
        <v>2.9</v>
      </c>
      <c r="N18" s="2" t="n">
        <v>1</v>
      </c>
      <c r="O18" s="4" t="inlineStr">
        <is>
          <t>Active</t>
        </is>
      </c>
      <c r="P18" s="2" t="inlineStr"/>
      <c r="Q18" s="2" t="inlineStr"/>
      <c r="R18" s="4" t="inlineStr">
        <is>
          <t>Low Risk</t>
        </is>
      </c>
    </row>
    <row r="19">
      <c r="A19" s="5" t="inlineStr">
        <is>
          <t>BFL10018</t>
        </is>
      </c>
      <c r="B19" s="6" t="inlineStr">
        <is>
          <t>Vivek Bhatt</t>
        </is>
      </c>
      <c r="C19" s="5" t="inlineStr">
        <is>
          <t>M5</t>
        </is>
      </c>
      <c r="D19" s="5" t="inlineStr">
        <is>
          <t>Technology</t>
        </is>
      </c>
      <c r="E19" s="5" t="inlineStr">
        <is>
          <t>Mumbai</t>
        </is>
      </c>
      <c r="F19" s="5" t="inlineStr">
        <is>
          <t>2023-02-01</t>
        </is>
      </c>
      <c r="G19" s="5" t="n">
        <v>13.7</v>
      </c>
      <c r="H19" s="5" t="n">
        <v>3</v>
      </c>
      <c r="I19" s="5" t="n">
        <v>3.6</v>
      </c>
      <c r="J19" s="5" t="inlineStr">
        <is>
          <t>Medium</t>
        </is>
      </c>
      <c r="K19" s="5" t="n">
        <v>28</v>
      </c>
      <c r="L19" s="5" t="n">
        <v>1</v>
      </c>
      <c r="M19" s="5" t="n">
        <v>2.4</v>
      </c>
      <c r="N19" s="5" t="n">
        <v>18</v>
      </c>
      <c r="O19" s="7" t="inlineStr">
        <is>
          <t>Attrited</t>
        </is>
      </c>
      <c r="P19" s="5" t="inlineStr">
        <is>
          <t>Jan 2026</t>
        </is>
      </c>
      <c r="Q19" s="5" t="inlineStr">
        <is>
          <t>Better Opportunity</t>
        </is>
      </c>
      <c r="R19" s="5" t="inlineStr">
        <is>
          <t>—</t>
        </is>
      </c>
    </row>
    <row r="20">
      <c r="A20" s="2" t="inlineStr">
        <is>
          <t>BFL10019</t>
        </is>
      </c>
      <c r="B20" s="3" t="inlineStr">
        <is>
          <t>Preeti Mehta</t>
        </is>
      </c>
      <c r="C20" s="2" t="inlineStr">
        <is>
          <t>M4</t>
        </is>
      </c>
      <c r="D20" s="2" t="inlineStr">
        <is>
          <t>Finance</t>
        </is>
      </c>
      <c r="E20" s="2" t="inlineStr">
        <is>
          <t>Delhi</t>
        </is>
      </c>
      <c r="F20" s="2" t="inlineStr">
        <is>
          <t>2018-11-01</t>
        </is>
      </c>
      <c r="G20" s="2" t="n">
        <v>8.300000000000001</v>
      </c>
      <c r="H20" s="2" t="n">
        <v>4</v>
      </c>
      <c r="I20" s="2" t="n">
        <v>2.4</v>
      </c>
      <c r="J20" s="2" t="inlineStr">
        <is>
          <t>Low</t>
        </is>
      </c>
      <c r="K20" s="2" t="n">
        <v>18</v>
      </c>
      <c r="L20" s="2" t="n">
        <v>2</v>
      </c>
      <c r="M20" s="2" t="n">
        <v>3.9</v>
      </c>
      <c r="N20" s="2" t="n">
        <v>14</v>
      </c>
      <c r="O20" s="7" t="inlineStr">
        <is>
          <t>Attrited</t>
        </is>
      </c>
      <c r="P20" s="2" t="inlineStr">
        <is>
          <t>May 2025</t>
        </is>
      </c>
      <c r="Q20" s="2" t="inlineStr">
        <is>
          <t>Better Opportunity</t>
        </is>
      </c>
      <c r="R20" s="2" t="inlineStr">
        <is>
          <t>—</t>
        </is>
      </c>
    </row>
    <row r="21">
      <c r="A21" s="5" t="inlineStr">
        <is>
          <t>BFL10020</t>
        </is>
      </c>
      <c r="B21" s="6" t="inlineStr">
        <is>
          <t>Usha Bose</t>
        </is>
      </c>
      <c r="C21" s="5" t="inlineStr">
        <is>
          <t>M5</t>
        </is>
      </c>
      <c r="D21" s="5" t="inlineStr">
        <is>
          <t>Operations</t>
        </is>
      </c>
      <c r="E21" s="5" t="inlineStr">
        <is>
          <t>Mumbai</t>
        </is>
      </c>
      <c r="F21" s="5" t="inlineStr">
        <is>
          <t>2023-04-01</t>
        </is>
      </c>
      <c r="G21" s="5" t="n">
        <v>10.6</v>
      </c>
      <c r="H21" s="5" t="n">
        <v>4</v>
      </c>
      <c r="I21" s="5" t="n">
        <v>4.8</v>
      </c>
      <c r="J21" s="5" t="inlineStr">
        <is>
          <t>High</t>
        </is>
      </c>
      <c r="K21" s="5" t="n">
        <v>27</v>
      </c>
      <c r="L21" s="5" t="n">
        <v>0</v>
      </c>
      <c r="M21" s="5" t="n">
        <v>3.1</v>
      </c>
      <c r="N21" s="5" t="n">
        <v>5</v>
      </c>
      <c r="O21" s="7" t="inlineStr">
        <is>
          <t>Attrited</t>
        </is>
      </c>
      <c r="P21" s="5" t="inlineStr">
        <is>
          <t>Dec 2025</t>
        </is>
      </c>
      <c r="Q21" s="5" t="inlineStr">
        <is>
          <t>Relocation</t>
        </is>
      </c>
      <c r="R21" s="5" t="inlineStr">
        <is>
          <t>—</t>
        </is>
      </c>
    </row>
    <row r="22">
      <c r="A22" s="2" t="inlineStr">
        <is>
          <t>BFL10021</t>
        </is>
      </c>
      <c r="B22" s="3" t="inlineStr">
        <is>
          <t>Preeti Bhatt</t>
        </is>
      </c>
      <c r="C22" s="2" t="inlineStr">
        <is>
          <t>M1</t>
        </is>
      </c>
      <c r="D22" s="2" t="inlineStr">
        <is>
          <t>HR</t>
        </is>
      </c>
      <c r="E22" s="2" t="inlineStr">
        <is>
          <t>Hyderabad</t>
        </is>
      </c>
      <c r="F22" s="2" t="inlineStr">
        <is>
          <t>2016-03-01</t>
        </is>
      </c>
      <c r="G22" s="2" t="n">
        <v>0.5</v>
      </c>
      <c r="H22" s="2" t="n">
        <v>3</v>
      </c>
      <c r="I22" s="2" t="n">
        <v>4.1</v>
      </c>
      <c r="J22" s="2" t="inlineStr">
        <is>
          <t>High</t>
        </is>
      </c>
      <c r="K22" s="2" t="n">
        <v>4</v>
      </c>
      <c r="L22" s="2" t="n">
        <v>0</v>
      </c>
      <c r="M22" s="2" t="n">
        <v>2.8</v>
      </c>
      <c r="N22" s="2" t="n">
        <v>6</v>
      </c>
      <c r="O22" s="4" t="inlineStr">
        <is>
          <t>Active</t>
        </is>
      </c>
      <c r="P22" s="2" t="inlineStr"/>
      <c r="Q22" s="2" t="inlineStr"/>
      <c r="R22" s="4" t="inlineStr">
        <is>
          <t>Low Risk</t>
        </is>
      </c>
    </row>
    <row r="23">
      <c r="A23" s="5" t="inlineStr">
        <is>
          <t>BFL10022</t>
        </is>
      </c>
      <c r="B23" s="6" t="inlineStr">
        <is>
          <t>Rekha Nair</t>
        </is>
      </c>
      <c r="C23" s="5" t="inlineStr">
        <is>
          <t>M3</t>
        </is>
      </c>
      <c r="D23" s="5" t="inlineStr">
        <is>
          <t>Collections</t>
        </is>
      </c>
      <c r="E23" s="5" t="inlineStr">
        <is>
          <t>Delhi</t>
        </is>
      </c>
      <c r="F23" s="5" t="inlineStr">
        <is>
          <t>2015-02-01</t>
        </is>
      </c>
      <c r="G23" s="5" t="n">
        <v>4.5</v>
      </c>
      <c r="H23" s="5" t="n">
        <v>5</v>
      </c>
      <c r="I23" s="5" t="n">
        <v>1.7</v>
      </c>
      <c r="J23" s="5" t="inlineStr">
        <is>
          <t>Very Low</t>
        </is>
      </c>
      <c r="K23" s="5" t="n">
        <v>13</v>
      </c>
      <c r="L23" s="5" t="n">
        <v>0</v>
      </c>
      <c r="M23" s="5" t="n">
        <v>3.9</v>
      </c>
      <c r="N23" s="5" t="n">
        <v>8</v>
      </c>
      <c r="O23" s="7" t="inlineStr">
        <is>
          <t>Attrited</t>
        </is>
      </c>
      <c r="P23" s="5" t="inlineStr">
        <is>
          <t>Mar 2026</t>
        </is>
      </c>
      <c r="Q23" s="5" t="inlineStr">
        <is>
          <t>No Growth</t>
        </is>
      </c>
      <c r="R23" s="5" t="inlineStr">
        <is>
          <t>—</t>
        </is>
      </c>
    </row>
    <row r="24">
      <c r="A24" s="2" t="inlineStr">
        <is>
          <t>BFL10023</t>
        </is>
      </c>
      <c r="B24" s="3" t="inlineStr">
        <is>
          <t>Lata Shah</t>
        </is>
      </c>
      <c r="C24" s="2" t="inlineStr">
        <is>
          <t>M5</t>
        </is>
      </c>
      <c r="D24" s="2" t="inlineStr">
        <is>
          <t>Sales</t>
        </is>
      </c>
      <c r="E24" s="2" t="inlineStr">
        <is>
          <t>Mumbai</t>
        </is>
      </c>
      <c r="F24" s="2" t="inlineStr">
        <is>
          <t>2016-12-01</t>
        </is>
      </c>
      <c r="G24" s="2" t="n">
        <v>14.1</v>
      </c>
      <c r="H24" s="2" t="n">
        <v>3</v>
      </c>
      <c r="I24" s="2" t="n">
        <v>4.4</v>
      </c>
      <c r="J24" s="2" t="inlineStr">
        <is>
          <t>High</t>
        </is>
      </c>
      <c r="K24" s="2" t="n">
        <v>28</v>
      </c>
      <c r="L24" s="2" t="n">
        <v>1</v>
      </c>
      <c r="M24" s="2" t="n">
        <v>2.4</v>
      </c>
      <c r="N24" s="2" t="n">
        <v>9</v>
      </c>
      <c r="O24" s="7" t="inlineStr">
        <is>
          <t>Attrited</t>
        </is>
      </c>
      <c r="P24" s="2" t="inlineStr">
        <is>
          <t>Apr 2025</t>
        </is>
      </c>
      <c r="Q24" s="2" t="inlineStr">
        <is>
          <t>Personal Reasons</t>
        </is>
      </c>
      <c r="R24" s="2" t="inlineStr">
        <is>
          <t>—</t>
        </is>
      </c>
    </row>
    <row r="25">
      <c r="A25" s="5" t="inlineStr">
        <is>
          <t>BFL10024</t>
        </is>
      </c>
      <c r="B25" s="6" t="inlineStr">
        <is>
          <t>Pooja Rao</t>
        </is>
      </c>
      <c r="C25" s="5" t="inlineStr">
        <is>
          <t>M1</t>
        </is>
      </c>
      <c r="D25" s="5" t="inlineStr">
        <is>
          <t>Finance</t>
        </is>
      </c>
      <c r="E25" s="5" t="inlineStr">
        <is>
          <t>Ahmedabad</t>
        </is>
      </c>
      <c r="F25" s="5" t="inlineStr">
        <is>
          <t>2023-07-01</t>
        </is>
      </c>
      <c r="G25" s="5" t="n">
        <v>1.9</v>
      </c>
      <c r="H25" s="5" t="n">
        <v>4</v>
      </c>
      <c r="I25" s="5" t="n">
        <v>4.7</v>
      </c>
      <c r="J25" s="5" t="inlineStr">
        <is>
          <t>High</t>
        </is>
      </c>
      <c r="K25" s="5" t="n">
        <v>4</v>
      </c>
      <c r="L25" s="5" t="n">
        <v>0</v>
      </c>
      <c r="M25" s="5" t="n">
        <v>4.9</v>
      </c>
      <c r="N25" s="5" t="n">
        <v>5</v>
      </c>
      <c r="O25" s="4" t="inlineStr">
        <is>
          <t>Active</t>
        </is>
      </c>
      <c r="P25" s="5" t="inlineStr"/>
      <c r="Q25" s="5" t="inlineStr"/>
      <c r="R25" s="4" t="inlineStr">
        <is>
          <t>Low Risk</t>
        </is>
      </c>
    </row>
    <row r="26">
      <c r="A26" s="2" t="inlineStr">
        <is>
          <t>BFL10025</t>
        </is>
      </c>
      <c r="B26" s="3" t="inlineStr">
        <is>
          <t>Priya Kulkarni</t>
        </is>
      </c>
      <c r="C26" s="2" t="inlineStr">
        <is>
          <t>M3</t>
        </is>
      </c>
      <c r="D26" s="2" t="inlineStr">
        <is>
          <t>Customer Experience</t>
        </is>
      </c>
      <c r="E26" s="2" t="inlineStr">
        <is>
          <t>Ahmedabad</t>
        </is>
      </c>
      <c r="F26" s="2" t="inlineStr">
        <is>
          <t>2018-05-01</t>
        </is>
      </c>
      <c r="G26" s="2" t="n">
        <v>2.6</v>
      </c>
      <c r="H26" s="2" t="n">
        <v>3</v>
      </c>
      <c r="I26" s="2" t="n">
        <v>2.8</v>
      </c>
      <c r="J26" s="2" t="inlineStr">
        <is>
          <t>Low</t>
        </is>
      </c>
      <c r="K26" s="2" t="n">
        <v>11</v>
      </c>
      <c r="L26" s="2" t="n">
        <v>1</v>
      </c>
      <c r="M26" s="2" t="n">
        <v>2.7</v>
      </c>
      <c r="N26" s="2" t="n">
        <v>14</v>
      </c>
      <c r="O26" s="7" t="inlineStr">
        <is>
          <t>Attrited</t>
        </is>
      </c>
      <c r="P26" s="2" t="inlineStr">
        <is>
          <t>Aug 2025</t>
        </is>
      </c>
      <c r="Q26" s="2" t="inlineStr">
        <is>
          <t>Career Growth</t>
        </is>
      </c>
      <c r="R26" s="2" t="inlineStr">
        <is>
          <t>—</t>
        </is>
      </c>
    </row>
    <row r="27">
      <c r="A27" s="5" t="inlineStr">
        <is>
          <t>BFL10026</t>
        </is>
      </c>
      <c r="B27" s="6" t="inlineStr">
        <is>
          <t>Arun Sharma</t>
        </is>
      </c>
      <c r="C27" s="5" t="inlineStr">
        <is>
          <t>M2</t>
        </is>
      </c>
      <c r="D27" s="5" t="inlineStr">
        <is>
          <t>Customer Experience</t>
        </is>
      </c>
      <c r="E27" s="5" t="inlineStr">
        <is>
          <t>Delhi</t>
        </is>
      </c>
      <c r="F27" s="5" t="inlineStr">
        <is>
          <t>2019-02-01</t>
        </is>
      </c>
      <c r="G27" s="5" t="n">
        <v>3.9</v>
      </c>
      <c r="H27" s="5" t="n">
        <v>5</v>
      </c>
      <c r="I27" s="5" t="n">
        <v>2.7</v>
      </c>
      <c r="J27" s="5" t="inlineStr">
        <is>
          <t>Low</t>
        </is>
      </c>
      <c r="K27" s="5" t="n">
        <v>9</v>
      </c>
      <c r="L27" s="5" t="n">
        <v>2</v>
      </c>
      <c r="M27" s="5" t="n">
        <v>4.9</v>
      </c>
      <c r="N27" s="5" t="n">
        <v>17</v>
      </c>
      <c r="O27" s="7" t="inlineStr">
        <is>
          <t>Attrited</t>
        </is>
      </c>
      <c r="P27" s="5" t="inlineStr">
        <is>
          <t>Apr 2025</t>
        </is>
      </c>
      <c r="Q27" s="5" t="inlineStr">
        <is>
          <t>Higher Salary</t>
        </is>
      </c>
      <c r="R27" s="5" t="inlineStr">
        <is>
          <t>—</t>
        </is>
      </c>
    </row>
    <row r="28">
      <c r="A28" s="2" t="inlineStr">
        <is>
          <t>BFL10027</t>
        </is>
      </c>
      <c r="B28" s="3" t="inlineStr">
        <is>
          <t>Kiran Kulkarni</t>
        </is>
      </c>
      <c r="C28" s="2" t="inlineStr">
        <is>
          <t>M5</t>
        </is>
      </c>
      <c r="D28" s="2" t="inlineStr">
        <is>
          <t>HR</t>
        </is>
      </c>
      <c r="E28" s="2" t="inlineStr">
        <is>
          <t>Mumbai</t>
        </is>
      </c>
      <c r="F28" s="2" t="inlineStr">
        <is>
          <t>2016-10-01</t>
        </is>
      </c>
      <c r="G28" s="2" t="n">
        <v>9.9</v>
      </c>
      <c r="H28" s="2" t="n">
        <v>2</v>
      </c>
      <c r="I28" s="2" t="n">
        <v>3</v>
      </c>
      <c r="J28" s="2" t="inlineStr">
        <is>
          <t>Medium</t>
        </is>
      </c>
      <c r="K28" s="2" t="n">
        <v>27</v>
      </c>
      <c r="L28" s="2" t="n">
        <v>1</v>
      </c>
      <c r="M28" s="2" t="n">
        <v>4.7</v>
      </c>
      <c r="N28" s="2" t="n">
        <v>6</v>
      </c>
      <c r="O28" s="7" t="inlineStr">
        <is>
          <t>Attrited</t>
        </is>
      </c>
      <c r="P28" s="2" t="inlineStr">
        <is>
          <t>Apr 2025</t>
        </is>
      </c>
      <c r="Q28" s="2" t="inlineStr">
        <is>
          <t>Toxic Manager</t>
        </is>
      </c>
      <c r="R28" s="2" t="inlineStr">
        <is>
          <t>—</t>
        </is>
      </c>
    </row>
    <row r="29">
      <c r="A29" s="5" t="inlineStr">
        <is>
          <t>BFL10028</t>
        </is>
      </c>
      <c r="B29" s="6" t="inlineStr">
        <is>
          <t>Rohan Bhatt</t>
        </is>
      </c>
      <c r="C29" s="5" t="inlineStr">
        <is>
          <t>M5</t>
        </is>
      </c>
      <c r="D29" s="5" t="inlineStr">
        <is>
          <t>Risk &amp; Compliance</t>
        </is>
      </c>
      <c r="E29" s="5" t="inlineStr">
        <is>
          <t>Delhi</t>
        </is>
      </c>
      <c r="F29" s="5" t="inlineStr">
        <is>
          <t>2021-02-01</t>
        </is>
      </c>
      <c r="G29" s="5" t="n">
        <v>14.5</v>
      </c>
      <c r="H29" s="5" t="n">
        <v>2</v>
      </c>
      <c r="I29" s="5" t="n">
        <v>3.7</v>
      </c>
      <c r="J29" s="5" t="inlineStr">
        <is>
          <t>Medium</t>
        </is>
      </c>
      <c r="K29" s="5" t="n">
        <v>27</v>
      </c>
      <c r="L29" s="5" t="n">
        <v>2</v>
      </c>
      <c r="M29" s="5" t="n">
        <v>4.7</v>
      </c>
      <c r="N29" s="5" t="n">
        <v>16</v>
      </c>
      <c r="O29" s="7" t="inlineStr">
        <is>
          <t>Attrited</t>
        </is>
      </c>
      <c r="P29" s="5" t="inlineStr">
        <is>
          <t>Feb 2026</t>
        </is>
      </c>
      <c r="Q29" s="5" t="inlineStr">
        <is>
          <t>Toxic Manager</t>
        </is>
      </c>
      <c r="R29" s="5" t="inlineStr">
        <is>
          <t>—</t>
        </is>
      </c>
    </row>
    <row r="30">
      <c r="A30" s="2" t="inlineStr">
        <is>
          <t>BFL10029</t>
        </is>
      </c>
      <c r="B30" s="3" t="inlineStr">
        <is>
          <t>Ashish Mishra</t>
        </is>
      </c>
      <c r="C30" s="2" t="inlineStr">
        <is>
          <t>M3</t>
        </is>
      </c>
      <c r="D30" s="2" t="inlineStr">
        <is>
          <t>Technology</t>
        </is>
      </c>
      <c r="E30" s="2" t="inlineStr">
        <is>
          <t>Pune</t>
        </is>
      </c>
      <c r="F30" s="2" t="inlineStr">
        <is>
          <t>2021-11-01</t>
        </is>
      </c>
      <c r="G30" s="2" t="n">
        <v>5.8</v>
      </c>
      <c r="H30" s="2" t="n">
        <v>4</v>
      </c>
      <c r="I30" s="2" t="n">
        <v>3.7</v>
      </c>
      <c r="J30" s="2" t="inlineStr">
        <is>
          <t>Medium</t>
        </is>
      </c>
      <c r="K30" s="2" t="n">
        <v>13</v>
      </c>
      <c r="L30" s="2" t="n">
        <v>1</v>
      </c>
      <c r="M30" s="2" t="n">
        <v>3.6</v>
      </c>
      <c r="N30" s="2" t="n">
        <v>0</v>
      </c>
      <c r="O30" s="7" t="inlineStr">
        <is>
          <t>Attrited</t>
        </is>
      </c>
      <c r="P30" s="2" t="inlineStr">
        <is>
          <t>Aug 2025</t>
        </is>
      </c>
      <c r="Q30" s="2" t="inlineStr">
        <is>
          <t>Career Growth</t>
        </is>
      </c>
      <c r="R30" s="2" t="inlineStr">
        <is>
          <t>—</t>
        </is>
      </c>
    </row>
    <row r="31">
      <c r="A31" s="5" t="inlineStr">
        <is>
          <t>BFL10030</t>
        </is>
      </c>
      <c r="B31" s="6" t="inlineStr">
        <is>
          <t>Asha Malhotra</t>
        </is>
      </c>
      <c r="C31" s="5" t="inlineStr">
        <is>
          <t>M5</t>
        </is>
      </c>
      <c r="D31" s="5" t="inlineStr">
        <is>
          <t>Finance</t>
        </is>
      </c>
      <c r="E31" s="5" t="inlineStr">
        <is>
          <t>Bangalore</t>
        </is>
      </c>
      <c r="F31" s="5" t="inlineStr">
        <is>
          <t>2022-08-01</t>
        </is>
      </c>
      <c r="G31" s="5" t="n">
        <v>12.1</v>
      </c>
      <c r="H31" s="5" t="n">
        <v>3</v>
      </c>
      <c r="I31" s="5" t="n">
        <v>4.3</v>
      </c>
      <c r="J31" s="5" t="inlineStr">
        <is>
          <t>High</t>
        </is>
      </c>
      <c r="K31" s="5" t="n">
        <v>28</v>
      </c>
      <c r="L31" s="5" t="n">
        <v>2</v>
      </c>
      <c r="M31" s="5" t="n">
        <v>2.3</v>
      </c>
      <c r="N31" s="5" t="n">
        <v>16</v>
      </c>
      <c r="O31" s="4" t="inlineStr">
        <is>
          <t>Active</t>
        </is>
      </c>
      <c r="P31" s="5" t="inlineStr"/>
      <c r="Q31" s="5" t="inlineStr"/>
      <c r="R31" s="7" t="inlineStr">
        <is>
          <t>High Risk</t>
        </is>
      </c>
    </row>
    <row r="32">
      <c r="A32" s="2" t="inlineStr">
        <is>
          <t>BFL10031</t>
        </is>
      </c>
      <c r="B32" s="3" t="inlineStr">
        <is>
          <t>Preeti Desai</t>
        </is>
      </c>
      <c r="C32" s="2" t="inlineStr">
        <is>
          <t>M1</t>
        </is>
      </c>
      <c r="D32" s="2" t="inlineStr">
        <is>
          <t>Risk &amp; Compliance</t>
        </is>
      </c>
      <c r="E32" s="2" t="inlineStr">
        <is>
          <t>Hyderabad</t>
        </is>
      </c>
      <c r="F32" s="2" t="inlineStr">
        <is>
          <t>2019-04-01</t>
        </is>
      </c>
      <c r="G32" s="2" t="n">
        <v>1.6</v>
      </c>
      <c r="H32" s="2" t="n">
        <v>4</v>
      </c>
      <c r="I32" s="2" t="n">
        <v>1.6</v>
      </c>
      <c r="J32" s="2" t="inlineStr">
        <is>
          <t>Very Low</t>
        </is>
      </c>
      <c r="K32" s="2" t="n">
        <v>4</v>
      </c>
      <c r="L32" s="2" t="n">
        <v>1</v>
      </c>
      <c r="M32" s="2" t="n">
        <v>3.8</v>
      </c>
      <c r="N32" s="2" t="n">
        <v>2</v>
      </c>
      <c r="O32" s="7" t="inlineStr">
        <is>
          <t>Attrited</t>
        </is>
      </c>
      <c r="P32" s="2" t="inlineStr">
        <is>
          <t>Oct 2025</t>
        </is>
      </c>
      <c r="Q32" s="2" t="inlineStr">
        <is>
          <t>Career Growth</t>
        </is>
      </c>
      <c r="R32" s="2" t="inlineStr">
        <is>
          <t>—</t>
        </is>
      </c>
    </row>
    <row r="33">
      <c r="A33" s="5" t="inlineStr">
        <is>
          <t>BFL10032</t>
        </is>
      </c>
      <c r="B33" s="6" t="inlineStr">
        <is>
          <t>Suresh Reddy</t>
        </is>
      </c>
      <c r="C33" s="5" t="inlineStr">
        <is>
          <t>M4</t>
        </is>
      </c>
      <c r="D33" s="5" t="inlineStr">
        <is>
          <t>Risk &amp; Compliance</t>
        </is>
      </c>
      <c r="E33" s="5" t="inlineStr">
        <is>
          <t>Pune</t>
        </is>
      </c>
      <c r="F33" s="5" t="inlineStr">
        <is>
          <t>2015-02-01</t>
        </is>
      </c>
      <c r="G33" s="5" t="n">
        <v>8.699999999999999</v>
      </c>
      <c r="H33" s="5" t="n">
        <v>4</v>
      </c>
      <c r="I33" s="5" t="n">
        <v>2.1</v>
      </c>
      <c r="J33" s="5" t="inlineStr">
        <is>
          <t>Low</t>
        </is>
      </c>
      <c r="K33" s="5" t="n">
        <v>20</v>
      </c>
      <c r="L33" s="5" t="n">
        <v>0</v>
      </c>
      <c r="M33" s="5" t="n">
        <v>3.7</v>
      </c>
      <c r="N33" s="5" t="n">
        <v>3</v>
      </c>
      <c r="O33" s="7" t="inlineStr">
        <is>
          <t>Attrited</t>
        </is>
      </c>
      <c r="P33" s="5" t="inlineStr">
        <is>
          <t>Jun 2025</t>
        </is>
      </c>
      <c r="Q33" s="5" t="inlineStr">
        <is>
          <t>No Growth</t>
        </is>
      </c>
      <c r="R33" s="5" t="inlineStr">
        <is>
          <t>—</t>
        </is>
      </c>
    </row>
    <row r="34">
      <c r="A34" s="2" t="inlineStr">
        <is>
          <t>BFL10033</t>
        </is>
      </c>
      <c r="B34" s="3" t="inlineStr">
        <is>
          <t>Smita Tiwari</t>
        </is>
      </c>
      <c r="C34" s="2" t="inlineStr">
        <is>
          <t>M5</t>
        </is>
      </c>
      <c r="D34" s="2" t="inlineStr">
        <is>
          <t>Finance</t>
        </is>
      </c>
      <c r="E34" s="2" t="inlineStr">
        <is>
          <t>Ahmedabad</t>
        </is>
      </c>
      <c r="F34" s="2" t="inlineStr">
        <is>
          <t>2022-10-01</t>
        </is>
      </c>
      <c r="G34" s="2" t="n">
        <v>13.3</v>
      </c>
      <c r="H34" s="2" t="n">
        <v>2</v>
      </c>
      <c r="I34" s="2" t="n">
        <v>4.4</v>
      </c>
      <c r="J34" s="2" t="inlineStr">
        <is>
          <t>High</t>
        </is>
      </c>
      <c r="K34" s="2" t="n">
        <v>30</v>
      </c>
      <c r="L34" s="2" t="n">
        <v>0</v>
      </c>
      <c r="M34" s="2" t="n">
        <v>4.2</v>
      </c>
      <c r="N34" s="2" t="n">
        <v>15</v>
      </c>
      <c r="O34" s="7" t="inlineStr">
        <is>
          <t>Attrited</t>
        </is>
      </c>
      <c r="P34" s="2" t="inlineStr">
        <is>
          <t>Aug 2025</t>
        </is>
      </c>
      <c r="Q34" s="2" t="inlineStr">
        <is>
          <t>Career Growth</t>
        </is>
      </c>
      <c r="R34" s="2" t="inlineStr">
        <is>
          <t>—</t>
        </is>
      </c>
    </row>
    <row r="35">
      <c r="A35" s="5" t="inlineStr">
        <is>
          <t>BFL10034</t>
        </is>
      </c>
      <c r="B35" s="6" t="inlineStr">
        <is>
          <t>Divya Bhatt</t>
        </is>
      </c>
      <c r="C35" s="5" t="inlineStr">
        <is>
          <t>M4</t>
        </is>
      </c>
      <c r="D35" s="5" t="inlineStr">
        <is>
          <t>Risk &amp; Compliance</t>
        </is>
      </c>
      <c r="E35" s="5" t="inlineStr">
        <is>
          <t>Delhi</t>
        </is>
      </c>
      <c r="F35" s="5" t="inlineStr">
        <is>
          <t>2022-02-01</t>
        </is>
      </c>
      <c r="G35" s="5" t="n">
        <v>8.300000000000001</v>
      </c>
      <c r="H35" s="5" t="n">
        <v>4</v>
      </c>
      <c r="I35" s="5" t="n">
        <v>2.5</v>
      </c>
      <c r="J35" s="5" t="inlineStr">
        <is>
          <t>Low</t>
        </is>
      </c>
      <c r="K35" s="5" t="n">
        <v>19</v>
      </c>
      <c r="L35" s="5" t="n">
        <v>1</v>
      </c>
      <c r="M35" s="5" t="n">
        <v>2.2</v>
      </c>
      <c r="N35" s="5" t="n">
        <v>4</v>
      </c>
      <c r="O35" s="7" t="inlineStr">
        <is>
          <t>Attrited</t>
        </is>
      </c>
      <c r="P35" s="5" t="inlineStr">
        <is>
          <t>Oct 2025</t>
        </is>
      </c>
      <c r="Q35" s="5" t="inlineStr">
        <is>
          <t>Work-Life Balance</t>
        </is>
      </c>
      <c r="R35" s="5" t="inlineStr">
        <is>
          <t>—</t>
        </is>
      </c>
    </row>
    <row r="36">
      <c r="A36" s="2" t="inlineStr">
        <is>
          <t>BFL10035</t>
        </is>
      </c>
      <c r="B36" s="3" t="inlineStr">
        <is>
          <t>Pooja Mehta</t>
        </is>
      </c>
      <c r="C36" s="2" t="inlineStr">
        <is>
          <t>M4</t>
        </is>
      </c>
      <c r="D36" s="2" t="inlineStr">
        <is>
          <t>Customer Experience</t>
        </is>
      </c>
      <c r="E36" s="2" t="inlineStr">
        <is>
          <t>Delhi</t>
        </is>
      </c>
      <c r="F36" s="2" t="inlineStr">
        <is>
          <t>2023-08-01</t>
        </is>
      </c>
      <c r="G36" s="2" t="n">
        <v>6.5</v>
      </c>
      <c r="H36" s="2" t="n">
        <v>4</v>
      </c>
      <c r="I36" s="2" t="n">
        <v>4.4</v>
      </c>
      <c r="J36" s="2" t="inlineStr">
        <is>
          <t>High</t>
        </is>
      </c>
      <c r="K36" s="2" t="n">
        <v>20</v>
      </c>
      <c r="L36" s="2" t="n">
        <v>1</v>
      </c>
      <c r="M36" s="2" t="n">
        <v>4.8</v>
      </c>
      <c r="N36" s="2" t="n">
        <v>0</v>
      </c>
      <c r="O36" s="4" t="inlineStr">
        <is>
          <t>Active</t>
        </is>
      </c>
      <c r="P36" s="2" t="inlineStr"/>
      <c r="Q36" s="2" t="inlineStr"/>
      <c r="R36" s="4" t="inlineStr">
        <is>
          <t>Low Risk</t>
        </is>
      </c>
    </row>
    <row r="37">
      <c r="A37" s="5" t="inlineStr">
        <is>
          <t>BFL10036</t>
        </is>
      </c>
      <c r="B37" s="6" t="inlineStr">
        <is>
          <t>Girish Mishra</t>
        </is>
      </c>
      <c r="C37" s="5" t="inlineStr">
        <is>
          <t>M4</t>
        </is>
      </c>
      <c r="D37" s="5" t="inlineStr">
        <is>
          <t>Sales</t>
        </is>
      </c>
      <c r="E37" s="5" t="inlineStr">
        <is>
          <t>Delhi</t>
        </is>
      </c>
      <c r="F37" s="5" t="inlineStr">
        <is>
          <t>2019-07-01</t>
        </is>
      </c>
      <c r="G37" s="5" t="n">
        <v>9.1</v>
      </c>
      <c r="H37" s="5" t="n">
        <v>2</v>
      </c>
      <c r="I37" s="5" t="n">
        <v>3.4</v>
      </c>
      <c r="J37" s="5" t="inlineStr">
        <is>
          <t>Medium</t>
        </is>
      </c>
      <c r="K37" s="5" t="n">
        <v>18</v>
      </c>
      <c r="L37" s="5" t="n">
        <v>1</v>
      </c>
      <c r="M37" s="5" t="n">
        <v>2.7</v>
      </c>
      <c r="N37" s="5" t="n">
        <v>13</v>
      </c>
      <c r="O37" s="4" t="inlineStr">
        <is>
          <t>Active</t>
        </is>
      </c>
      <c r="P37" s="5" t="inlineStr"/>
      <c r="Q37" s="5" t="inlineStr"/>
      <c r="R37" s="7" t="inlineStr">
        <is>
          <t>High Risk</t>
        </is>
      </c>
    </row>
    <row r="38">
      <c r="A38" s="2" t="inlineStr">
        <is>
          <t>BFL10037</t>
        </is>
      </c>
      <c r="B38" s="3" t="inlineStr">
        <is>
          <t>Priya Mishra</t>
        </is>
      </c>
      <c r="C38" s="2" t="inlineStr">
        <is>
          <t>M3</t>
        </is>
      </c>
      <c r="D38" s="2" t="inlineStr">
        <is>
          <t>Customer Experience</t>
        </is>
      </c>
      <c r="E38" s="2" t="inlineStr">
        <is>
          <t>Hyderabad</t>
        </is>
      </c>
      <c r="F38" s="2" t="inlineStr">
        <is>
          <t>2017-08-01</t>
        </is>
      </c>
      <c r="G38" s="2" t="n">
        <v>5.7</v>
      </c>
      <c r="H38" s="2" t="n">
        <v>3</v>
      </c>
      <c r="I38" s="2" t="n">
        <v>4.7</v>
      </c>
      <c r="J38" s="2" t="inlineStr">
        <is>
          <t>High</t>
        </is>
      </c>
      <c r="K38" s="2" t="n">
        <v>11</v>
      </c>
      <c r="L38" s="2" t="n">
        <v>0</v>
      </c>
      <c r="M38" s="2" t="n">
        <v>3.9</v>
      </c>
      <c r="N38" s="2" t="n">
        <v>4</v>
      </c>
      <c r="O38" s="7" t="inlineStr">
        <is>
          <t>Attrited</t>
        </is>
      </c>
      <c r="P38" s="2" t="inlineStr">
        <is>
          <t>Nov 2025</t>
        </is>
      </c>
      <c r="Q38" s="2" t="inlineStr">
        <is>
          <t>Work-Life Balance</t>
        </is>
      </c>
      <c r="R38" s="2" t="inlineStr">
        <is>
          <t>—</t>
        </is>
      </c>
    </row>
    <row r="39">
      <c r="A39" s="5" t="inlineStr">
        <is>
          <t>BFL10038</t>
        </is>
      </c>
      <c r="B39" s="6" t="inlineStr">
        <is>
          <t>Sunita Singh</t>
        </is>
      </c>
      <c r="C39" s="5" t="inlineStr">
        <is>
          <t>M4</t>
        </is>
      </c>
      <c r="D39" s="5" t="inlineStr">
        <is>
          <t>Finance</t>
        </is>
      </c>
      <c r="E39" s="5" t="inlineStr">
        <is>
          <t>Pune</t>
        </is>
      </c>
      <c r="F39" s="5" t="inlineStr">
        <is>
          <t>2022-06-01</t>
        </is>
      </c>
      <c r="G39" s="5" t="n">
        <v>6</v>
      </c>
      <c r="H39" s="5" t="n">
        <v>2</v>
      </c>
      <c r="I39" s="5" t="n">
        <v>2.5</v>
      </c>
      <c r="J39" s="5" t="inlineStr">
        <is>
          <t>Low</t>
        </is>
      </c>
      <c r="K39" s="5" t="n">
        <v>20</v>
      </c>
      <c r="L39" s="5" t="n">
        <v>0</v>
      </c>
      <c r="M39" s="5" t="n">
        <v>4.5</v>
      </c>
      <c r="N39" s="5" t="n">
        <v>15</v>
      </c>
      <c r="O39" s="7" t="inlineStr">
        <is>
          <t>Attrited</t>
        </is>
      </c>
      <c r="P39" s="5" t="inlineStr">
        <is>
          <t>Mar 2026</t>
        </is>
      </c>
      <c r="Q39" s="5" t="inlineStr">
        <is>
          <t>Startup Opportunity</t>
        </is>
      </c>
      <c r="R39" s="5" t="inlineStr">
        <is>
          <t>—</t>
        </is>
      </c>
    </row>
    <row r="40">
      <c r="A40" s="2" t="inlineStr">
        <is>
          <t>BFL10039</t>
        </is>
      </c>
      <c r="B40" s="3" t="inlineStr">
        <is>
          <t>Sunita Iyer</t>
        </is>
      </c>
      <c r="C40" s="2" t="inlineStr">
        <is>
          <t>M2</t>
        </is>
      </c>
      <c r="D40" s="2" t="inlineStr">
        <is>
          <t>Operations</t>
        </is>
      </c>
      <c r="E40" s="2" t="inlineStr">
        <is>
          <t>Ahmedabad</t>
        </is>
      </c>
      <c r="F40" s="2" t="inlineStr">
        <is>
          <t>2015-01-01</t>
        </is>
      </c>
      <c r="G40" s="2" t="n">
        <v>3.8</v>
      </c>
      <c r="H40" s="2" t="n">
        <v>4</v>
      </c>
      <c r="I40" s="2" t="n">
        <v>4.4</v>
      </c>
      <c r="J40" s="2" t="inlineStr">
        <is>
          <t>High</t>
        </is>
      </c>
      <c r="K40" s="2" t="n">
        <v>7</v>
      </c>
      <c r="L40" s="2" t="n">
        <v>0</v>
      </c>
      <c r="M40" s="2" t="n">
        <v>2.4</v>
      </c>
      <c r="N40" s="2" t="n">
        <v>3</v>
      </c>
      <c r="O40" s="7" t="inlineStr">
        <is>
          <t>Attrited</t>
        </is>
      </c>
      <c r="P40" s="2" t="inlineStr">
        <is>
          <t>Jul 2025</t>
        </is>
      </c>
      <c r="Q40" s="2" t="inlineStr">
        <is>
          <t>No Growth</t>
        </is>
      </c>
      <c r="R40" s="2" t="inlineStr">
        <is>
          <t>—</t>
        </is>
      </c>
    </row>
    <row r="41">
      <c r="A41" s="5" t="inlineStr">
        <is>
          <t>BFL10040</t>
        </is>
      </c>
      <c r="B41" s="6" t="inlineStr">
        <is>
          <t>Kiran Iyer</t>
        </is>
      </c>
      <c r="C41" s="5" t="inlineStr">
        <is>
          <t>M2</t>
        </is>
      </c>
      <c r="D41" s="5" t="inlineStr">
        <is>
          <t>Operations</t>
        </is>
      </c>
      <c r="E41" s="5" t="inlineStr">
        <is>
          <t>Ahmedabad</t>
        </is>
      </c>
      <c r="F41" s="5" t="inlineStr">
        <is>
          <t>2017-05-01</t>
        </is>
      </c>
      <c r="G41" s="5" t="n">
        <v>1.3</v>
      </c>
      <c r="H41" s="5" t="n">
        <v>3</v>
      </c>
      <c r="I41" s="5" t="n">
        <v>4.8</v>
      </c>
      <c r="J41" s="5" t="inlineStr">
        <is>
          <t>High</t>
        </is>
      </c>
      <c r="K41" s="5" t="n">
        <v>9</v>
      </c>
      <c r="L41" s="5" t="n">
        <v>1</v>
      </c>
      <c r="M41" s="5" t="n">
        <v>4.8</v>
      </c>
      <c r="N41" s="5" t="n">
        <v>6</v>
      </c>
      <c r="O41" s="7" t="inlineStr">
        <is>
          <t>Attrited</t>
        </is>
      </c>
      <c r="P41" s="5" t="inlineStr">
        <is>
          <t>Jan 2026</t>
        </is>
      </c>
      <c r="Q41" s="5" t="inlineStr">
        <is>
          <t>Career Growth</t>
        </is>
      </c>
      <c r="R41" s="5" t="inlineStr">
        <is>
          <t>—</t>
        </is>
      </c>
    </row>
    <row r="42">
      <c r="A42" s="2" t="inlineStr">
        <is>
          <t>BFL10041</t>
        </is>
      </c>
      <c r="B42" s="3" t="inlineStr">
        <is>
          <t>Ankit Gupta</t>
        </is>
      </c>
      <c r="C42" s="2" t="inlineStr">
        <is>
          <t>M5</t>
        </is>
      </c>
      <c r="D42" s="2" t="inlineStr">
        <is>
          <t>Operations</t>
        </is>
      </c>
      <c r="E42" s="2" t="inlineStr">
        <is>
          <t>Ahmedabad</t>
        </is>
      </c>
      <c r="F42" s="2" t="inlineStr">
        <is>
          <t>2024-01-01</t>
        </is>
      </c>
      <c r="G42" s="2" t="n">
        <v>9.1</v>
      </c>
      <c r="H42" s="2" t="n">
        <v>2</v>
      </c>
      <c r="I42" s="2" t="n">
        <v>3.8</v>
      </c>
      <c r="J42" s="2" t="inlineStr">
        <is>
          <t>Medium</t>
        </is>
      </c>
      <c r="K42" s="2" t="n">
        <v>27</v>
      </c>
      <c r="L42" s="2" t="n">
        <v>1</v>
      </c>
      <c r="M42" s="2" t="n">
        <v>3.9</v>
      </c>
      <c r="N42" s="2" t="n">
        <v>0</v>
      </c>
      <c r="O42" s="4" t="inlineStr">
        <is>
          <t>Active</t>
        </is>
      </c>
      <c r="P42" s="2" t="inlineStr"/>
      <c r="Q42" s="2" t="inlineStr"/>
      <c r="R42" s="4" t="inlineStr">
        <is>
          <t>Low Risk</t>
        </is>
      </c>
    </row>
    <row r="43">
      <c r="A43" s="5" t="inlineStr">
        <is>
          <t>BFL10042</t>
        </is>
      </c>
      <c r="B43" s="6" t="inlineStr">
        <is>
          <t>Nikhil Reddy</t>
        </is>
      </c>
      <c r="C43" s="5" t="inlineStr">
        <is>
          <t>M1</t>
        </is>
      </c>
      <c r="D43" s="5" t="inlineStr">
        <is>
          <t>Customer Experience</t>
        </is>
      </c>
      <c r="E43" s="5" t="inlineStr">
        <is>
          <t>Delhi</t>
        </is>
      </c>
      <c r="F43" s="5" t="inlineStr">
        <is>
          <t>2022-12-01</t>
        </is>
      </c>
      <c r="G43" s="5" t="n">
        <v>0.3</v>
      </c>
      <c r="H43" s="5" t="n">
        <v>4</v>
      </c>
      <c r="I43" s="5" t="n">
        <v>4.1</v>
      </c>
      <c r="J43" s="5" t="inlineStr">
        <is>
          <t>High</t>
        </is>
      </c>
      <c r="K43" s="5" t="n">
        <v>5</v>
      </c>
      <c r="L43" s="5" t="n">
        <v>1</v>
      </c>
      <c r="M43" s="5" t="n">
        <v>4.4</v>
      </c>
      <c r="N43" s="5" t="n">
        <v>17</v>
      </c>
      <c r="O43" s="4" t="inlineStr">
        <is>
          <t>Active</t>
        </is>
      </c>
      <c r="P43" s="5" t="inlineStr"/>
      <c r="Q43" s="5" t="inlineStr"/>
      <c r="R43" s="7" t="inlineStr">
        <is>
          <t>High Risk</t>
        </is>
      </c>
    </row>
    <row r="44">
      <c r="A44" s="2" t="inlineStr">
        <is>
          <t>BFL10043</t>
        </is>
      </c>
      <c r="B44" s="3" t="inlineStr">
        <is>
          <t>Vivek Pandey</t>
        </is>
      </c>
      <c r="C44" s="2" t="inlineStr">
        <is>
          <t>M4</t>
        </is>
      </c>
      <c r="D44" s="2" t="inlineStr">
        <is>
          <t>HR</t>
        </is>
      </c>
      <c r="E44" s="2" t="inlineStr">
        <is>
          <t>Delhi</t>
        </is>
      </c>
      <c r="F44" s="2" t="inlineStr">
        <is>
          <t>2018-02-01</t>
        </is>
      </c>
      <c r="G44" s="2" t="n">
        <v>5.7</v>
      </c>
      <c r="H44" s="2" t="n">
        <v>3</v>
      </c>
      <c r="I44" s="2" t="n">
        <v>2.4</v>
      </c>
      <c r="J44" s="2" t="inlineStr">
        <is>
          <t>Low</t>
        </is>
      </c>
      <c r="K44" s="2" t="n">
        <v>20</v>
      </c>
      <c r="L44" s="2" t="n">
        <v>1</v>
      </c>
      <c r="M44" s="2" t="n">
        <v>3.8</v>
      </c>
      <c r="N44" s="2" t="n">
        <v>12</v>
      </c>
      <c r="O44" s="7" t="inlineStr">
        <is>
          <t>Attrited</t>
        </is>
      </c>
      <c r="P44" s="2" t="inlineStr">
        <is>
          <t>Apr 2025</t>
        </is>
      </c>
      <c r="Q44" s="2" t="inlineStr">
        <is>
          <t>No Growth</t>
        </is>
      </c>
      <c r="R44" s="2" t="inlineStr">
        <is>
          <t>—</t>
        </is>
      </c>
    </row>
    <row r="45">
      <c r="A45" s="5" t="inlineStr">
        <is>
          <t>BFL10044</t>
        </is>
      </c>
      <c r="B45" s="6" t="inlineStr">
        <is>
          <t>Ashish Kulkarni</t>
        </is>
      </c>
      <c r="C45" s="5" t="inlineStr">
        <is>
          <t>M4</t>
        </is>
      </c>
      <c r="D45" s="5" t="inlineStr">
        <is>
          <t>Risk &amp; Compliance</t>
        </is>
      </c>
      <c r="E45" s="5" t="inlineStr">
        <is>
          <t>Delhi</t>
        </is>
      </c>
      <c r="F45" s="5" t="inlineStr">
        <is>
          <t>2019-06-01</t>
        </is>
      </c>
      <c r="G45" s="5" t="n">
        <v>5.7</v>
      </c>
      <c r="H45" s="5" t="n">
        <v>5</v>
      </c>
      <c r="I45" s="5" t="n">
        <v>3.4</v>
      </c>
      <c r="J45" s="5" t="inlineStr">
        <is>
          <t>Medium</t>
        </is>
      </c>
      <c r="K45" s="5" t="n">
        <v>18</v>
      </c>
      <c r="L45" s="5" t="n">
        <v>0</v>
      </c>
      <c r="M45" s="5" t="n">
        <v>2.7</v>
      </c>
      <c r="N45" s="5" t="n">
        <v>13</v>
      </c>
      <c r="O45" s="7" t="inlineStr">
        <is>
          <t>Attrited</t>
        </is>
      </c>
      <c r="P45" s="5" t="inlineStr">
        <is>
          <t>Dec 2025</t>
        </is>
      </c>
      <c r="Q45" s="5" t="inlineStr">
        <is>
          <t>Career Growth</t>
        </is>
      </c>
      <c r="R45" s="5" t="inlineStr">
        <is>
          <t>—</t>
        </is>
      </c>
    </row>
    <row r="46">
      <c r="A46" s="2" t="inlineStr">
        <is>
          <t>BFL10045</t>
        </is>
      </c>
      <c r="B46" s="3" t="inlineStr">
        <is>
          <t>Vivek Reddy</t>
        </is>
      </c>
      <c r="C46" s="2" t="inlineStr">
        <is>
          <t>M4</t>
        </is>
      </c>
      <c r="D46" s="2" t="inlineStr">
        <is>
          <t>Sales</t>
        </is>
      </c>
      <c r="E46" s="2" t="inlineStr">
        <is>
          <t>Mumbai</t>
        </is>
      </c>
      <c r="F46" s="2" t="inlineStr">
        <is>
          <t>2019-04-01</t>
        </is>
      </c>
      <c r="G46" s="2" t="n">
        <v>6.4</v>
      </c>
      <c r="H46" s="2" t="n">
        <v>4</v>
      </c>
      <c r="I46" s="2" t="n">
        <v>2.6</v>
      </c>
      <c r="J46" s="2" t="inlineStr">
        <is>
          <t>Low</t>
        </is>
      </c>
      <c r="K46" s="2" t="n">
        <v>19</v>
      </c>
      <c r="L46" s="2" t="n">
        <v>1</v>
      </c>
      <c r="M46" s="2" t="n">
        <v>3.7</v>
      </c>
      <c r="N46" s="2" t="n">
        <v>11</v>
      </c>
      <c r="O46" s="4" t="inlineStr">
        <is>
          <t>Active</t>
        </is>
      </c>
      <c r="P46" s="2" t="inlineStr"/>
      <c r="Q46" s="2" t="inlineStr"/>
      <c r="R46" s="8" t="inlineStr">
        <is>
          <t>Medium Risk</t>
        </is>
      </c>
    </row>
    <row r="47">
      <c r="A47" s="5" t="inlineStr">
        <is>
          <t>BFL10046</t>
        </is>
      </c>
      <c r="B47" s="6" t="inlineStr">
        <is>
          <t>Lata Desai</t>
        </is>
      </c>
      <c r="C47" s="5" t="inlineStr">
        <is>
          <t>M3</t>
        </is>
      </c>
      <c r="D47" s="5" t="inlineStr">
        <is>
          <t>Collections</t>
        </is>
      </c>
      <c r="E47" s="5" t="inlineStr">
        <is>
          <t>Delhi</t>
        </is>
      </c>
      <c r="F47" s="5" t="inlineStr">
        <is>
          <t>2019-05-01</t>
        </is>
      </c>
      <c r="G47" s="5" t="n">
        <v>2.9</v>
      </c>
      <c r="H47" s="5" t="n">
        <v>4</v>
      </c>
      <c r="I47" s="5" t="n">
        <v>2.6</v>
      </c>
      <c r="J47" s="5" t="inlineStr">
        <is>
          <t>Low</t>
        </is>
      </c>
      <c r="K47" s="5" t="n">
        <v>12</v>
      </c>
      <c r="L47" s="5" t="n">
        <v>0</v>
      </c>
      <c r="M47" s="5" t="n">
        <v>2.6</v>
      </c>
      <c r="N47" s="5" t="n">
        <v>15</v>
      </c>
      <c r="O47" s="7" t="inlineStr">
        <is>
          <t>Attrited</t>
        </is>
      </c>
      <c r="P47" s="5" t="inlineStr">
        <is>
          <t>Mar 2026</t>
        </is>
      </c>
      <c r="Q47" s="5" t="inlineStr">
        <is>
          <t>Startup Opportunity</t>
        </is>
      </c>
      <c r="R47" s="5" t="inlineStr">
        <is>
          <t>—</t>
        </is>
      </c>
    </row>
    <row r="48">
      <c r="A48" s="2" t="inlineStr">
        <is>
          <t>BFL10047</t>
        </is>
      </c>
      <c r="B48" s="3" t="inlineStr">
        <is>
          <t>Sachin Gupta</t>
        </is>
      </c>
      <c r="C48" s="2" t="inlineStr">
        <is>
          <t>M1</t>
        </is>
      </c>
      <c r="D48" s="2" t="inlineStr">
        <is>
          <t>Risk &amp; Compliance</t>
        </is>
      </c>
      <c r="E48" s="2" t="inlineStr">
        <is>
          <t>Delhi</t>
        </is>
      </c>
      <c r="F48" s="2" t="inlineStr">
        <is>
          <t>2018-06-01</t>
        </is>
      </c>
      <c r="G48" s="2" t="n">
        <v>0.4</v>
      </c>
      <c r="H48" s="2" t="n">
        <v>3</v>
      </c>
      <c r="I48" s="2" t="n">
        <v>4</v>
      </c>
      <c r="J48" s="2" t="inlineStr">
        <is>
          <t>High</t>
        </is>
      </c>
      <c r="K48" s="2" t="n">
        <v>4</v>
      </c>
      <c r="L48" s="2" t="n">
        <v>0</v>
      </c>
      <c r="M48" s="2" t="n">
        <v>2.1</v>
      </c>
      <c r="N48" s="2" t="n">
        <v>1</v>
      </c>
      <c r="O48" s="4" t="inlineStr">
        <is>
          <t>Active</t>
        </is>
      </c>
      <c r="P48" s="2" t="inlineStr"/>
      <c r="Q48" s="2" t="inlineStr"/>
      <c r="R48" s="4" t="inlineStr">
        <is>
          <t>Low Risk</t>
        </is>
      </c>
    </row>
    <row r="49">
      <c r="A49" s="5" t="inlineStr">
        <is>
          <t>BFL10048</t>
        </is>
      </c>
      <c r="B49" s="6" t="inlineStr">
        <is>
          <t>Manoj Joshi</t>
        </is>
      </c>
      <c r="C49" s="5" t="inlineStr">
        <is>
          <t>M4</t>
        </is>
      </c>
      <c r="D49" s="5" t="inlineStr">
        <is>
          <t>Operations</t>
        </is>
      </c>
      <c r="E49" s="5" t="inlineStr">
        <is>
          <t>Ahmedabad</t>
        </is>
      </c>
      <c r="F49" s="5" t="inlineStr">
        <is>
          <t>2015-10-01</t>
        </is>
      </c>
      <c r="G49" s="5" t="n">
        <v>5.7</v>
      </c>
      <c r="H49" s="5" t="n">
        <v>3</v>
      </c>
      <c r="I49" s="5" t="n">
        <v>3</v>
      </c>
      <c r="J49" s="5" t="inlineStr">
        <is>
          <t>Medium</t>
        </is>
      </c>
      <c r="K49" s="5" t="n">
        <v>18</v>
      </c>
      <c r="L49" s="5" t="n">
        <v>0</v>
      </c>
      <c r="M49" s="5" t="n">
        <v>2.8</v>
      </c>
      <c r="N49" s="5" t="n">
        <v>15</v>
      </c>
      <c r="O49" s="7" t="inlineStr">
        <is>
          <t>Attrited</t>
        </is>
      </c>
      <c r="P49" s="5" t="inlineStr">
        <is>
          <t>May 2025</t>
        </is>
      </c>
      <c r="Q49" s="5" t="inlineStr">
        <is>
          <t>Toxic Manager</t>
        </is>
      </c>
      <c r="R49" s="5" t="inlineStr">
        <is>
          <t>—</t>
        </is>
      </c>
    </row>
    <row r="50">
      <c r="A50" s="2" t="inlineStr">
        <is>
          <t>BFL10049</t>
        </is>
      </c>
      <c r="B50" s="3" t="inlineStr">
        <is>
          <t>Renu Mehta</t>
        </is>
      </c>
      <c r="C50" s="2" t="inlineStr">
        <is>
          <t>M5</t>
        </is>
      </c>
      <c r="D50" s="2" t="inlineStr">
        <is>
          <t>Sales</t>
        </is>
      </c>
      <c r="E50" s="2" t="inlineStr">
        <is>
          <t>Pune</t>
        </is>
      </c>
      <c r="F50" s="2" t="inlineStr">
        <is>
          <t>2017-10-01</t>
        </is>
      </c>
      <c r="G50" s="2" t="n">
        <v>14.5</v>
      </c>
      <c r="H50" s="2" t="n">
        <v>3</v>
      </c>
      <c r="I50" s="2" t="n">
        <v>5</v>
      </c>
      <c r="J50" s="2" t="inlineStr">
        <is>
          <t>High</t>
        </is>
      </c>
      <c r="K50" s="2" t="n">
        <v>27</v>
      </c>
      <c r="L50" s="2" t="n">
        <v>1</v>
      </c>
      <c r="M50" s="2" t="n">
        <v>4.3</v>
      </c>
      <c r="N50" s="2" t="n">
        <v>19</v>
      </c>
      <c r="O50" s="4" t="inlineStr">
        <is>
          <t>Active</t>
        </is>
      </c>
      <c r="P50" s="2" t="inlineStr"/>
      <c r="Q50" s="2" t="inlineStr"/>
      <c r="R50" s="7" t="inlineStr">
        <is>
          <t>High Risk</t>
        </is>
      </c>
    </row>
    <row r="51">
      <c r="A51" s="5" t="inlineStr">
        <is>
          <t>BFL10050</t>
        </is>
      </c>
      <c r="B51" s="6" t="inlineStr">
        <is>
          <t>Preeti Rao</t>
        </is>
      </c>
      <c r="C51" s="5" t="inlineStr">
        <is>
          <t>M5</t>
        </is>
      </c>
      <c r="D51" s="5" t="inlineStr">
        <is>
          <t>Customer Experience</t>
        </is>
      </c>
      <c r="E51" s="5" t="inlineStr">
        <is>
          <t>Bangalore</t>
        </is>
      </c>
      <c r="F51" s="5" t="inlineStr">
        <is>
          <t>2022-05-01</t>
        </is>
      </c>
      <c r="G51" s="5" t="n">
        <v>13.7</v>
      </c>
      <c r="H51" s="5" t="n">
        <v>2</v>
      </c>
      <c r="I51" s="5" t="n">
        <v>2.6</v>
      </c>
      <c r="J51" s="5" t="inlineStr">
        <is>
          <t>Low</t>
        </is>
      </c>
      <c r="K51" s="5" t="n">
        <v>27</v>
      </c>
      <c r="L51" s="5" t="n">
        <v>1</v>
      </c>
      <c r="M51" s="5" t="n">
        <v>4.9</v>
      </c>
      <c r="N51" s="5" t="n">
        <v>3</v>
      </c>
      <c r="O51" s="4" t="inlineStr">
        <is>
          <t>Active</t>
        </is>
      </c>
      <c r="P51" s="5" t="inlineStr"/>
      <c r="Q51" s="5" t="inlineStr"/>
      <c r="R51" s="8" t="inlineStr">
        <is>
          <t>Medium Risk</t>
        </is>
      </c>
    </row>
    <row r="52">
      <c r="A52" s="2" t="inlineStr">
        <is>
          <t>BFL10051</t>
        </is>
      </c>
      <c r="B52" s="3" t="inlineStr">
        <is>
          <t>Pooja Nair</t>
        </is>
      </c>
      <c r="C52" s="2" t="inlineStr">
        <is>
          <t>M3</t>
        </is>
      </c>
      <c r="D52" s="2" t="inlineStr">
        <is>
          <t>Operations</t>
        </is>
      </c>
      <c r="E52" s="2" t="inlineStr">
        <is>
          <t>Pune</t>
        </is>
      </c>
      <c r="F52" s="2" t="inlineStr">
        <is>
          <t>2018-03-01</t>
        </is>
      </c>
      <c r="G52" s="2" t="n">
        <v>4.2</v>
      </c>
      <c r="H52" s="2" t="n">
        <v>4</v>
      </c>
      <c r="I52" s="2" t="n">
        <v>1.5</v>
      </c>
      <c r="J52" s="2" t="inlineStr">
        <is>
          <t>Very Low</t>
        </is>
      </c>
      <c r="K52" s="2" t="n">
        <v>14</v>
      </c>
      <c r="L52" s="2" t="n">
        <v>2</v>
      </c>
      <c r="M52" s="2" t="n">
        <v>3.8</v>
      </c>
      <c r="N52" s="2" t="n">
        <v>9</v>
      </c>
      <c r="O52" s="7" t="inlineStr">
        <is>
          <t>Attrited</t>
        </is>
      </c>
      <c r="P52" s="2" t="inlineStr">
        <is>
          <t>Jul 2025</t>
        </is>
      </c>
      <c r="Q52" s="2" t="inlineStr">
        <is>
          <t>Relocation</t>
        </is>
      </c>
      <c r="R52" s="2" t="inlineStr">
        <is>
          <t>—</t>
        </is>
      </c>
    </row>
    <row r="53">
      <c r="A53" s="5" t="inlineStr">
        <is>
          <t>BFL10052</t>
        </is>
      </c>
      <c r="B53" s="6" t="inlineStr">
        <is>
          <t>Manoj Pandey</t>
        </is>
      </c>
      <c r="C53" s="5" t="inlineStr">
        <is>
          <t>M1</t>
        </is>
      </c>
      <c r="D53" s="5" t="inlineStr">
        <is>
          <t>Risk &amp; Compliance</t>
        </is>
      </c>
      <c r="E53" s="5" t="inlineStr">
        <is>
          <t>Delhi</t>
        </is>
      </c>
      <c r="F53" s="5" t="inlineStr">
        <is>
          <t>2024-11-01</t>
        </is>
      </c>
      <c r="G53" s="5" t="n">
        <v>1.6</v>
      </c>
      <c r="H53" s="5" t="n">
        <v>4</v>
      </c>
      <c r="I53" s="5" t="n">
        <v>3</v>
      </c>
      <c r="J53" s="5" t="inlineStr">
        <is>
          <t>Medium</t>
        </is>
      </c>
      <c r="K53" s="5" t="n">
        <v>4</v>
      </c>
      <c r="L53" s="5" t="n">
        <v>2</v>
      </c>
      <c r="M53" s="5" t="n">
        <v>2.4</v>
      </c>
      <c r="N53" s="5" t="n">
        <v>8</v>
      </c>
      <c r="O53" s="4" t="inlineStr">
        <is>
          <t>Active</t>
        </is>
      </c>
      <c r="P53" s="5" t="inlineStr"/>
      <c r="Q53" s="5" t="inlineStr"/>
      <c r="R53" s="8" t="inlineStr">
        <is>
          <t>Medium Risk</t>
        </is>
      </c>
    </row>
    <row r="54">
      <c r="A54" s="2" t="inlineStr">
        <is>
          <t>BFL10053</t>
        </is>
      </c>
      <c r="B54" s="3" t="inlineStr">
        <is>
          <t>Neha Mehta</t>
        </is>
      </c>
      <c r="C54" s="2" t="inlineStr">
        <is>
          <t>M1</t>
        </is>
      </c>
      <c r="D54" s="2" t="inlineStr">
        <is>
          <t>Technology</t>
        </is>
      </c>
      <c r="E54" s="2" t="inlineStr">
        <is>
          <t>Ahmedabad</t>
        </is>
      </c>
      <c r="F54" s="2" t="inlineStr">
        <is>
          <t>2019-10-01</t>
        </is>
      </c>
      <c r="G54" s="2" t="n">
        <v>1.5</v>
      </c>
      <c r="H54" s="2" t="n">
        <v>5</v>
      </c>
      <c r="I54" s="2" t="n">
        <v>3</v>
      </c>
      <c r="J54" s="2" t="inlineStr">
        <is>
          <t>Medium</t>
        </is>
      </c>
      <c r="K54" s="2" t="n">
        <v>6</v>
      </c>
      <c r="L54" s="2" t="n">
        <v>2</v>
      </c>
      <c r="M54" s="2" t="n">
        <v>2.9</v>
      </c>
      <c r="N54" s="2" t="n">
        <v>12</v>
      </c>
      <c r="O54" s="7" t="inlineStr">
        <is>
          <t>Attrited</t>
        </is>
      </c>
      <c r="P54" s="2" t="inlineStr">
        <is>
          <t>Dec 2025</t>
        </is>
      </c>
      <c r="Q54" s="2" t="inlineStr">
        <is>
          <t>Startup Opportunity</t>
        </is>
      </c>
      <c r="R54" s="2" t="inlineStr">
        <is>
          <t>—</t>
        </is>
      </c>
    </row>
    <row r="55">
      <c r="A55" s="5" t="inlineStr">
        <is>
          <t>BFL10054</t>
        </is>
      </c>
      <c r="B55" s="6" t="inlineStr">
        <is>
          <t>Renu Pandey</t>
        </is>
      </c>
      <c r="C55" s="5" t="inlineStr">
        <is>
          <t>M1</t>
        </is>
      </c>
      <c r="D55" s="5" t="inlineStr">
        <is>
          <t>Sales</t>
        </is>
      </c>
      <c r="E55" s="5" t="inlineStr">
        <is>
          <t>Bangalore</t>
        </is>
      </c>
      <c r="F55" s="5" t="inlineStr">
        <is>
          <t>2020-10-01</t>
        </is>
      </c>
      <c r="G55" s="5" t="n">
        <v>0.5</v>
      </c>
      <c r="H55" s="5" t="n">
        <v>3</v>
      </c>
      <c r="I55" s="5" t="n">
        <v>2.3</v>
      </c>
      <c r="J55" s="5" t="inlineStr">
        <is>
          <t>Low</t>
        </is>
      </c>
      <c r="K55" s="5" t="n">
        <v>3</v>
      </c>
      <c r="L55" s="5" t="n">
        <v>2</v>
      </c>
      <c r="M55" s="5" t="n">
        <v>4.5</v>
      </c>
      <c r="N55" s="5" t="n">
        <v>18</v>
      </c>
      <c r="O55" s="7" t="inlineStr">
        <is>
          <t>Attrited</t>
        </is>
      </c>
      <c r="P55" s="5" t="inlineStr">
        <is>
          <t>Jun 2025</t>
        </is>
      </c>
      <c r="Q55" s="5" t="inlineStr">
        <is>
          <t>No Growth</t>
        </is>
      </c>
      <c r="R55" s="5" t="inlineStr">
        <is>
          <t>—</t>
        </is>
      </c>
    </row>
    <row r="56">
      <c r="A56" s="2" t="inlineStr">
        <is>
          <t>BFL10055</t>
        </is>
      </c>
      <c r="B56" s="3" t="inlineStr">
        <is>
          <t>Smita Pandey</t>
        </is>
      </c>
      <c r="C56" s="2" t="inlineStr">
        <is>
          <t>M3</t>
        </is>
      </c>
      <c r="D56" s="2" t="inlineStr">
        <is>
          <t>Technology</t>
        </is>
      </c>
      <c r="E56" s="2" t="inlineStr">
        <is>
          <t>Chennai</t>
        </is>
      </c>
      <c r="F56" s="2" t="inlineStr">
        <is>
          <t>2021-11-01</t>
        </is>
      </c>
      <c r="G56" s="2" t="n">
        <v>5.3</v>
      </c>
      <c r="H56" s="2" t="n">
        <v>3</v>
      </c>
      <c r="I56" s="2" t="n">
        <v>3.1</v>
      </c>
      <c r="J56" s="2" t="inlineStr">
        <is>
          <t>Medium</t>
        </is>
      </c>
      <c r="K56" s="2" t="n">
        <v>14</v>
      </c>
      <c r="L56" s="2" t="n">
        <v>0</v>
      </c>
      <c r="M56" s="2" t="n">
        <v>3</v>
      </c>
      <c r="N56" s="2" t="n">
        <v>3</v>
      </c>
      <c r="O56" s="7" t="inlineStr">
        <is>
          <t>Attrited</t>
        </is>
      </c>
      <c r="P56" s="2" t="inlineStr">
        <is>
          <t>Jun 2025</t>
        </is>
      </c>
      <c r="Q56" s="2" t="inlineStr">
        <is>
          <t>Personal Reasons</t>
        </is>
      </c>
      <c r="R56" s="2" t="inlineStr">
        <is>
          <t>—</t>
        </is>
      </c>
    </row>
    <row r="57">
      <c r="A57" s="5" t="inlineStr">
        <is>
          <t>BFL10056</t>
        </is>
      </c>
      <c r="B57" s="6" t="inlineStr">
        <is>
          <t>Nikhil Reddy</t>
        </is>
      </c>
      <c r="C57" s="5" t="inlineStr">
        <is>
          <t>M3</t>
        </is>
      </c>
      <c r="D57" s="5" t="inlineStr">
        <is>
          <t>Customer Experience</t>
        </is>
      </c>
      <c r="E57" s="5" t="inlineStr">
        <is>
          <t>Ahmedabad</t>
        </is>
      </c>
      <c r="F57" s="5" t="inlineStr">
        <is>
          <t>2023-01-01</t>
        </is>
      </c>
      <c r="G57" s="5" t="n">
        <v>3.8</v>
      </c>
      <c r="H57" s="5" t="n">
        <v>2</v>
      </c>
      <c r="I57" s="5" t="n">
        <v>2.4</v>
      </c>
      <c r="J57" s="5" t="inlineStr">
        <is>
          <t>Low</t>
        </is>
      </c>
      <c r="K57" s="5" t="n">
        <v>11</v>
      </c>
      <c r="L57" s="5" t="n">
        <v>1</v>
      </c>
      <c r="M57" s="5" t="n">
        <v>4.6</v>
      </c>
      <c r="N57" s="5" t="n">
        <v>0</v>
      </c>
      <c r="O57" s="7" t="inlineStr">
        <is>
          <t>Attrited</t>
        </is>
      </c>
      <c r="P57" s="5" t="inlineStr">
        <is>
          <t>Dec 2025</t>
        </is>
      </c>
      <c r="Q57" s="5" t="inlineStr">
        <is>
          <t>No Growth</t>
        </is>
      </c>
      <c r="R57" s="5" t="inlineStr">
        <is>
          <t>—</t>
        </is>
      </c>
    </row>
    <row r="58">
      <c r="A58" s="2" t="inlineStr">
        <is>
          <t>BFL10057</t>
        </is>
      </c>
      <c r="B58" s="3" t="inlineStr">
        <is>
          <t>Nikhil Patil</t>
        </is>
      </c>
      <c r="C58" s="2" t="inlineStr">
        <is>
          <t>M2</t>
        </is>
      </c>
      <c r="D58" s="2" t="inlineStr">
        <is>
          <t>Finance</t>
        </is>
      </c>
      <c r="E58" s="2" t="inlineStr">
        <is>
          <t>Chennai</t>
        </is>
      </c>
      <c r="F58" s="2" t="inlineStr">
        <is>
          <t>2022-11-01</t>
        </is>
      </c>
      <c r="G58" s="2" t="n">
        <v>2.3</v>
      </c>
      <c r="H58" s="2" t="n">
        <v>3</v>
      </c>
      <c r="I58" s="2" t="n">
        <v>2.2</v>
      </c>
      <c r="J58" s="2" t="inlineStr">
        <is>
          <t>Low</t>
        </is>
      </c>
      <c r="K58" s="2" t="n">
        <v>7</v>
      </c>
      <c r="L58" s="2" t="n">
        <v>0</v>
      </c>
      <c r="M58" s="2" t="n">
        <v>3.3</v>
      </c>
      <c r="N58" s="2" t="n">
        <v>15</v>
      </c>
      <c r="O58" s="7" t="inlineStr">
        <is>
          <t>Attrited</t>
        </is>
      </c>
      <c r="P58" s="2" t="inlineStr">
        <is>
          <t>Apr 2025</t>
        </is>
      </c>
      <c r="Q58" s="2" t="inlineStr">
        <is>
          <t>Career Growth</t>
        </is>
      </c>
      <c r="R58" s="2" t="inlineStr">
        <is>
          <t>—</t>
        </is>
      </c>
    </row>
    <row r="59">
      <c r="A59" s="5" t="inlineStr">
        <is>
          <t>BFL10058</t>
        </is>
      </c>
      <c r="B59" s="6" t="inlineStr">
        <is>
          <t>Sanjay Gupta</t>
        </is>
      </c>
      <c r="C59" s="5" t="inlineStr">
        <is>
          <t>M5</t>
        </is>
      </c>
      <c r="D59" s="5" t="inlineStr">
        <is>
          <t>Sales</t>
        </is>
      </c>
      <c r="E59" s="5" t="inlineStr">
        <is>
          <t>Chennai</t>
        </is>
      </c>
      <c r="F59" s="5" t="inlineStr">
        <is>
          <t>2021-02-01</t>
        </is>
      </c>
      <c r="G59" s="5" t="n">
        <v>8</v>
      </c>
      <c r="H59" s="5" t="n">
        <v>3</v>
      </c>
      <c r="I59" s="5" t="n">
        <v>3.1</v>
      </c>
      <c r="J59" s="5" t="inlineStr">
        <is>
          <t>Medium</t>
        </is>
      </c>
      <c r="K59" s="5" t="n">
        <v>27</v>
      </c>
      <c r="L59" s="5" t="n">
        <v>2</v>
      </c>
      <c r="M59" s="5" t="n">
        <v>4.5</v>
      </c>
      <c r="N59" s="5" t="n">
        <v>15</v>
      </c>
      <c r="O59" s="4" t="inlineStr">
        <is>
          <t>Active</t>
        </is>
      </c>
      <c r="P59" s="5" t="inlineStr"/>
      <c r="Q59" s="5" t="inlineStr"/>
      <c r="R59" s="7" t="inlineStr">
        <is>
          <t>High Risk</t>
        </is>
      </c>
    </row>
    <row r="60">
      <c r="A60" s="2" t="inlineStr">
        <is>
          <t>BFL10059</t>
        </is>
      </c>
      <c r="B60" s="3" t="inlineStr">
        <is>
          <t>Manoj Bhatt</t>
        </is>
      </c>
      <c r="C60" s="2" t="inlineStr">
        <is>
          <t>M3</t>
        </is>
      </c>
      <c r="D60" s="2" t="inlineStr">
        <is>
          <t>Customer Experience</t>
        </is>
      </c>
      <c r="E60" s="2" t="inlineStr">
        <is>
          <t>Ahmedabad</t>
        </is>
      </c>
      <c r="F60" s="2" t="inlineStr">
        <is>
          <t>2022-08-01</t>
        </is>
      </c>
      <c r="G60" s="2" t="n">
        <v>3</v>
      </c>
      <c r="H60" s="2" t="n">
        <v>4</v>
      </c>
      <c r="I60" s="2" t="n">
        <v>2.8</v>
      </c>
      <c r="J60" s="2" t="inlineStr">
        <is>
          <t>Low</t>
        </is>
      </c>
      <c r="K60" s="2" t="n">
        <v>12</v>
      </c>
      <c r="L60" s="2" t="n">
        <v>0</v>
      </c>
      <c r="M60" s="2" t="n">
        <v>2.8</v>
      </c>
      <c r="N60" s="2" t="n">
        <v>13</v>
      </c>
      <c r="O60" s="7" t="inlineStr">
        <is>
          <t>Attrited</t>
        </is>
      </c>
      <c r="P60" s="2" t="inlineStr">
        <is>
          <t>Dec 2025</t>
        </is>
      </c>
      <c r="Q60" s="2" t="inlineStr">
        <is>
          <t>Relocation</t>
        </is>
      </c>
      <c r="R60" s="2" t="inlineStr">
        <is>
          <t>—</t>
        </is>
      </c>
    </row>
    <row r="61">
      <c r="A61" s="5" t="inlineStr">
        <is>
          <t>BFL10060</t>
        </is>
      </c>
      <c r="B61" s="6" t="inlineStr">
        <is>
          <t>Rohan Gupta</t>
        </is>
      </c>
      <c r="C61" s="5" t="inlineStr">
        <is>
          <t>M3</t>
        </is>
      </c>
      <c r="D61" s="5" t="inlineStr">
        <is>
          <t>Collections</t>
        </is>
      </c>
      <c r="E61" s="5" t="inlineStr">
        <is>
          <t>Ahmedabad</t>
        </is>
      </c>
      <c r="F61" s="5" t="inlineStr">
        <is>
          <t>2017-08-01</t>
        </is>
      </c>
      <c r="G61" s="5" t="n">
        <v>4.2</v>
      </c>
      <c r="H61" s="5" t="n">
        <v>2</v>
      </c>
      <c r="I61" s="5" t="n">
        <v>2.7</v>
      </c>
      <c r="J61" s="5" t="inlineStr">
        <is>
          <t>Low</t>
        </is>
      </c>
      <c r="K61" s="5" t="n">
        <v>14</v>
      </c>
      <c r="L61" s="5" t="n">
        <v>1</v>
      </c>
      <c r="M61" s="5" t="n">
        <v>4.8</v>
      </c>
      <c r="N61" s="5" t="n">
        <v>6</v>
      </c>
      <c r="O61" s="4" t="inlineStr">
        <is>
          <t>Active</t>
        </is>
      </c>
      <c r="P61" s="5" t="inlineStr"/>
      <c r="Q61" s="5" t="inlineStr"/>
      <c r="R61" s="8" t="inlineStr">
        <is>
          <t>Medium Risk</t>
        </is>
      </c>
    </row>
    <row r="62">
      <c r="A62" s="2" t="inlineStr">
        <is>
          <t>BFL10061</t>
        </is>
      </c>
      <c r="B62" s="3" t="inlineStr">
        <is>
          <t>Sneha Malhotra</t>
        </is>
      </c>
      <c r="C62" s="2" t="inlineStr">
        <is>
          <t>M4</t>
        </is>
      </c>
      <c r="D62" s="2" t="inlineStr">
        <is>
          <t>Risk &amp; Compliance</t>
        </is>
      </c>
      <c r="E62" s="2" t="inlineStr">
        <is>
          <t>Ahmedabad</t>
        </is>
      </c>
      <c r="F62" s="2" t="inlineStr">
        <is>
          <t>2021-01-01</t>
        </is>
      </c>
      <c r="G62" s="2" t="n">
        <v>5.9</v>
      </c>
      <c r="H62" s="2" t="n">
        <v>3</v>
      </c>
      <c r="I62" s="2" t="n">
        <v>4</v>
      </c>
      <c r="J62" s="2" t="inlineStr">
        <is>
          <t>High</t>
        </is>
      </c>
      <c r="K62" s="2" t="n">
        <v>20</v>
      </c>
      <c r="L62" s="2" t="n">
        <v>1</v>
      </c>
      <c r="M62" s="2" t="n">
        <v>5</v>
      </c>
      <c r="N62" s="2" t="n">
        <v>20</v>
      </c>
      <c r="O62" s="7" t="inlineStr">
        <is>
          <t>Attrited</t>
        </is>
      </c>
      <c r="P62" s="2" t="inlineStr">
        <is>
          <t>Nov 2025</t>
        </is>
      </c>
      <c r="Q62" s="2" t="inlineStr">
        <is>
          <t>Better Opportunity</t>
        </is>
      </c>
      <c r="R62" s="2" t="inlineStr">
        <is>
          <t>—</t>
        </is>
      </c>
    </row>
    <row r="63">
      <c r="A63" s="5" t="inlineStr">
        <is>
          <t>BFL10062</t>
        </is>
      </c>
      <c r="B63" s="6" t="inlineStr">
        <is>
          <t>Rahul Bhatt</t>
        </is>
      </c>
      <c r="C63" s="5" t="inlineStr">
        <is>
          <t>M5</t>
        </is>
      </c>
      <c r="D63" s="5" t="inlineStr">
        <is>
          <t>Finance</t>
        </is>
      </c>
      <c r="E63" s="5" t="inlineStr">
        <is>
          <t>Ahmedabad</t>
        </is>
      </c>
      <c r="F63" s="5" t="inlineStr">
        <is>
          <t>2016-08-01</t>
        </is>
      </c>
      <c r="G63" s="5" t="n">
        <v>6.9</v>
      </c>
      <c r="H63" s="5" t="n">
        <v>3</v>
      </c>
      <c r="I63" s="5" t="n">
        <v>1.6</v>
      </c>
      <c r="J63" s="5" t="inlineStr">
        <is>
          <t>Very Low</t>
        </is>
      </c>
      <c r="K63" s="5" t="n">
        <v>28</v>
      </c>
      <c r="L63" s="5" t="n">
        <v>1</v>
      </c>
      <c r="M63" s="5" t="n">
        <v>4.6</v>
      </c>
      <c r="N63" s="5" t="n">
        <v>4</v>
      </c>
      <c r="O63" s="7" t="inlineStr">
        <is>
          <t>Attrited</t>
        </is>
      </c>
      <c r="P63" s="5" t="inlineStr">
        <is>
          <t>Nov 2025</t>
        </is>
      </c>
      <c r="Q63" s="5" t="inlineStr">
        <is>
          <t>Relocation</t>
        </is>
      </c>
      <c r="R63" s="5" t="inlineStr">
        <is>
          <t>—</t>
        </is>
      </c>
    </row>
    <row r="64">
      <c r="A64" s="2" t="inlineStr">
        <is>
          <t>BFL10063</t>
        </is>
      </c>
      <c r="B64" s="3" t="inlineStr">
        <is>
          <t>Rekha Bose</t>
        </is>
      </c>
      <c r="C64" s="2" t="inlineStr">
        <is>
          <t>M4</t>
        </is>
      </c>
      <c r="D64" s="2" t="inlineStr">
        <is>
          <t>Operations</t>
        </is>
      </c>
      <c r="E64" s="2" t="inlineStr">
        <is>
          <t>Ahmedabad</t>
        </is>
      </c>
      <c r="F64" s="2" t="inlineStr">
        <is>
          <t>2020-11-01</t>
        </is>
      </c>
      <c r="G64" s="2" t="n">
        <v>9.199999999999999</v>
      </c>
      <c r="H64" s="2" t="n">
        <v>2</v>
      </c>
      <c r="I64" s="2" t="n">
        <v>4.8</v>
      </c>
      <c r="J64" s="2" t="inlineStr">
        <is>
          <t>High</t>
        </is>
      </c>
      <c r="K64" s="2" t="n">
        <v>20</v>
      </c>
      <c r="L64" s="2" t="n">
        <v>1</v>
      </c>
      <c r="M64" s="2" t="n">
        <v>2.1</v>
      </c>
      <c r="N64" s="2" t="n">
        <v>2</v>
      </c>
      <c r="O64" s="7" t="inlineStr">
        <is>
          <t>Attrited</t>
        </is>
      </c>
      <c r="P64" s="2" t="inlineStr">
        <is>
          <t>Feb 2026</t>
        </is>
      </c>
      <c r="Q64" s="2" t="inlineStr">
        <is>
          <t>Relocation</t>
        </is>
      </c>
      <c r="R64" s="2" t="inlineStr">
        <is>
          <t>—</t>
        </is>
      </c>
    </row>
    <row r="65">
      <c r="A65" s="5" t="inlineStr">
        <is>
          <t>BFL10064</t>
        </is>
      </c>
      <c r="B65" s="6" t="inlineStr">
        <is>
          <t>Arun Mehta</t>
        </is>
      </c>
      <c r="C65" s="5" t="inlineStr">
        <is>
          <t>M4</t>
        </is>
      </c>
      <c r="D65" s="5" t="inlineStr">
        <is>
          <t>Operations</t>
        </is>
      </c>
      <c r="E65" s="5" t="inlineStr">
        <is>
          <t>Ahmedabad</t>
        </is>
      </c>
      <c r="F65" s="5" t="inlineStr">
        <is>
          <t>2016-08-01</t>
        </is>
      </c>
      <c r="G65" s="5" t="n">
        <v>5</v>
      </c>
      <c r="H65" s="5" t="n">
        <v>5</v>
      </c>
      <c r="I65" s="5" t="n">
        <v>4.7</v>
      </c>
      <c r="J65" s="5" t="inlineStr">
        <is>
          <t>High</t>
        </is>
      </c>
      <c r="K65" s="5" t="n">
        <v>17</v>
      </c>
      <c r="L65" s="5" t="n">
        <v>0</v>
      </c>
      <c r="M65" s="5" t="n">
        <v>4.4</v>
      </c>
      <c r="N65" s="5" t="n">
        <v>9</v>
      </c>
      <c r="O65" s="7" t="inlineStr">
        <is>
          <t>Attrited</t>
        </is>
      </c>
      <c r="P65" s="5" t="inlineStr">
        <is>
          <t>Sep 2025</t>
        </is>
      </c>
      <c r="Q65" s="5" t="inlineStr">
        <is>
          <t>Toxic Manager</t>
        </is>
      </c>
      <c r="R65" s="5" t="inlineStr">
        <is>
          <t>—</t>
        </is>
      </c>
    </row>
    <row r="66">
      <c r="A66" s="2" t="inlineStr">
        <is>
          <t>BFL10065</t>
        </is>
      </c>
      <c r="B66" s="3" t="inlineStr">
        <is>
          <t>Neha Rao</t>
        </is>
      </c>
      <c r="C66" s="2" t="inlineStr">
        <is>
          <t>M5</t>
        </is>
      </c>
      <c r="D66" s="2" t="inlineStr">
        <is>
          <t>Customer Experience</t>
        </is>
      </c>
      <c r="E66" s="2" t="inlineStr">
        <is>
          <t>Chennai</t>
        </is>
      </c>
      <c r="F66" s="2" t="inlineStr">
        <is>
          <t>2017-03-01</t>
        </is>
      </c>
      <c r="G66" s="2" t="n">
        <v>7.6</v>
      </c>
      <c r="H66" s="2" t="n">
        <v>2</v>
      </c>
      <c r="I66" s="2" t="n">
        <v>3.7</v>
      </c>
      <c r="J66" s="2" t="inlineStr">
        <is>
          <t>Medium</t>
        </is>
      </c>
      <c r="K66" s="2" t="n">
        <v>28</v>
      </c>
      <c r="L66" s="2" t="n">
        <v>1</v>
      </c>
      <c r="M66" s="2" t="n">
        <v>4.7</v>
      </c>
      <c r="N66" s="2" t="n">
        <v>4</v>
      </c>
      <c r="O66" s="7" t="inlineStr">
        <is>
          <t>Attrited</t>
        </is>
      </c>
      <c r="P66" s="2" t="inlineStr">
        <is>
          <t>Nov 2025</t>
        </is>
      </c>
      <c r="Q66" s="2" t="inlineStr">
        <is>
          <t>Relocation</t>
        </is>
      </c>
      <c r="R66" s="2" t="inlineStr">
        <is>
          <t>—</t>
        </is>
      </c>
    </row>
    <row r="67">
      <c r="A67" s="5" t="inlineStr">
        <is>
          <t>BFL10066</t>
        </is>
      </c>
      <c r="B67" s="6" t="inlineStr">
        <is>
          <t>Usha Singh</t>
        </is>
      </c>
      <c r="C67" s="5" t="inlineStr">
        <is>
          <t>M1</t>
        </is>
      </c>
      <c r="D67" s="5" t="inlineStr">
        <is>
          <t>Collections</t>
        </is>
      </c>
      <c r="E67" s="5" t="inlineStr">
        <is>
          <t>Delhi</t>
        </is>
      </c>
      <c r="F67" s="5" t="inlineStr">
        <is>
          <t>2023-03-01</t>
        </is>
      </c>
      <c r="G67" s="5" t="n">
        <v>0.1</v>
      </c>
      <c r="H67" s="5" t="n">
        <v>2</v>
      </c>
      <c r="I67" s="5" t="n">
        <v>5</v>
      </c>
      <c r="J67" s="5" t="inlineStr">
        <is>
          <t>High</t>
        </is>
      </c>
      <c r="K67" s="5" t="n">
        <v>5</v>
      </c>
      <c r="L67" s="5" t="n">
        <v>2</v>
      </c>
      <c r="M67" s="5" t="n">
        <v>4.9</v>
      </c>
      <c r="N67" s="5" t="n">
        <v>8</v>
      </c>
      <c r="O67" s="4" t="inlineStr">
        <is>
          <t>Active</t>
        </is>
      </c>
      <c r="P67" s="5" t="inlineStr"/>
      <c r="Q67" s="5" t="inlineStr"/>
      <c r="R67" s="8" t="inlineStr">
        <is>
          <t>Medium Risk</t>
        </is>
      </c>
    </row>
    <row r="68">
      <c r="A68" s="2" t="inlineStr">
        <is>
          <t>BFL10067</t>
        </is>
      </c>
      <c r="B68" s="3" t="inlineStr">
        <is>
          <t>Geeta Nair</t>
        </is>
      </c>
      <c r="C68" s="2" t="inlineStr">
        <is>
          <t>M4</t>
        </is>
      </c>
      <c r="D68" s="2" t="inlineStr">
        <is>
          <t>Collections</t>
        </is>
      </c>
      <c r="E68" s="2" t="inlineStr">
        <is>
          <t>Mumbai</t>
        </is>
      </c>
      <c r="F68" s="2" t="inlineStr">
        <is>
          <t>2018-07-01</t>
        </is>
      </c>
      <c r="G68" s="2" t="n">
        <v>7.4</v>
      </c>
      <c r="H68" s="2" t="n">
        <v>5</v>
      </c>
      <c r="I68" s="2" t="n">
        <v>5</v>
      </c>
      <c r="J68" s="2" t="inlineStr">
        <is>
          <t>High</t>
        </is>
      </c>
      <c r="K68" s="2" t="n">
        <v>19</v>
      </c>
      <c r="L68" s="2" t="n">
        <v>0</v>
      </c>
      <c r="M68" s="2" t="n">
        <v>4.9</v>
      </c>
      <c r="N68" s="2" t="n">
        <v>12</v>
      </c>
      <c r="O68" s="7" t="inlineStr">
        <is>
          <t>Attrited</t>
        </is>
      </c>
      <c r="P68" s="2" t="inlineStr">
        <is>
          <t>Apr 2025</t>
        </is>
      </c>
      <c r="Q68" s="2" t="inlineStr">
        <is>
          <t>Better Opportunity</t>
        </is>
      </c>
      <c r="R68" s="2" t="inlineStr">
        <is>
          <t>—</t>
        </is>
      </c>
    </row>
    <row r="69">
      <c r="A69" s="5" t="inlineStr">
        <is>
          <t>BFL10068</t>
        </is>
      </c>
      <c r="B69" s="6" t="inlineStr">
        <is>
          <t>Sachin Reddy</t>
        </is>
      </c>
      <c r="C69" s="5" t="inlineStr">
        <is>
          <t>M3</t>
        </is>
      </c>
      <c r="D69" s="5" t="inlineStr">
        <is>
          <t>Risk &amp; Compliance</t>
        </is>
      </c>
      <c r="E69" s="5" t="inlineStr">
        <is>
          <t>Chennai</t>
        </is>
      </c>
      <c r="F69" s="5" t="inlineStr">
        <is>
          <t>2020-04-01</t>
        </is>
      </c>
      <c r="G69" s="5" t="n">
        <v>4.5</v>
      </c>
      <c r="H69" s="5" t="n">
        <v>5</v>
      </c>
      <c r="I69" s="5" t="n">
        <v>3.9</v>
      </c>
      <c r="J69" s="5" t="inlineStr">
        <is>
          <t>Medium</t>
        </is>
      </c>
      <c r="K69" s="5" t="n">
        <v>12</v>
      </c>
      <c r="L69" s="5" t="n">
        <v>2</v>
      </c>
      <c r="M69" s="5" t="n">
        <v>2.3</v>
      </c>
      <c r="N69" s="5" t="n">
        <v>20</v>
      </c>
      <c r="O69" s="4" t="inlineStr">
        <is>
          <t>Active</t>
        </is>
      </c>
      <c r="P69" s="5" t="inlineStr"/>
      <c r="Q69" s="5" t="inlineStr"/>
      <c r="R69" s="7" t="inlineStr">
        <is>
          <t>High Risk</t>
        </is>
      </c>
    </row>
    <row r="70">
      <c r="A70" s="2" t="inlineStr">
        <is>
          <t>BFL10069</t>
        </is>
      </c>
      <c r="B70" s="3" t="inlineStr">
        <is>
          <t>Amit Gupta</t>
        </is>
      </c>
      <c r="C70" s="2" t="inlineStr">
        <is>
          <t>M4</t>
        </is>
      </c>
      <c r="D70" s="2" t="inlineStr">
        <is>
          <t>Sales</t>
        </is>
      </c>
      <c r="E70" s="2" t="inlineStr">
        <is>
          <t>Chennai</t>
        </is>
      </c>
      <c r="F70" s="2" t="inlineStr">
        <is>
          <t>2020-12-01</t>
        </is>
      </c>
      <c r="G70" s="2" t="n">
        <v>4.8</v>
      </c>
      <c r="H70" s="2" t="n">
        <v>5</v>
      </c>
      <c r="I70" s="2" t="n">
        <v>2.6</v>
      </c>
      <c r="J70" s="2" t="inlineStr">
        <is>
          <t>Low</t>
        </is>
      </c>
      <c r="K70" s="2" t="n">
        <v>20</v>
      </c>
      <c r="L70" s="2" t="n">
        <v>0</v>
      </c>
      <c r="M70" s="2" t="n">
        <v>2.6</v>
      </c>
      <c r="N70" s="2" t="n">
        <v>17</v>
      </c>
      <c r="O70" s="7" t="inlineStr">
        <is>
          <t>Attrited</t>
        </is>
      </c>
      <c r="P70" s="2" t="inlineStr">
        <is>
          <t>Dec 2025</t>
        </is>
      </c>
      <c r="Q70" s="2" t="inlineStr">
        <is>
          <t>Startup Opportunity</t>
        </is>
      </c>
      <c r="R70" s="2" t="inlineStr">
        <is>
          <t>—</t>
        </is>
      </c>
    </row>
    <row r="71">
      <c r="A71" s="5" t="inlineStr">
        <is>
          <t>BFL10070</t>
        </is>
      </c>
      <c r="B71" s="6" t="inlineStr">
        <is>
          <t>Divya Kulkarni</t>
        </is>
      </c>
      <c r="C71" s="5" t="inlineStr">
        <is>
          <t>M3</t>
        </is>
      </c>
      <c r="D71" s="5" t="inlineStr">
        <is>
          <t>Collections</t>
        </is>
      </c>
      <c r="E71" s="5" t="inlineStr">
        <is>
          <t>Ahmedabad</t>
        </is>
      </c>
      <c r="F71" s="5" t="inlineStr">
        <is>
          <t>2019-12-01</t>
        </is>
      </c>
      <c r="G71" s="5" t="n">
        <v>5.5</v>
      </c>
      <c r="H71" s="5" t="n">
        <v>3</v>
      </c>
      <c r="I71" s="5" t="n">
        <v>3.1</v>
      </c>
      <c r="J71" s="5" t="inlineStr">
        <is>
          <t>Medium</t>
        </is>
      </c>
      <c r="K71" s="5" t="n">
        <v>11</v>
      </c>
      <c r="L71" s="5" t="n">
        <v>0</v>
      </c>
      <c r="M71" s="5" t="n">
        <v>4.3</v>
      </c>
      <c r="N71" s="5" t="n">
        <v>7</v>
      </c>
      <c r="O71" s="7" t="inlineStr">
        <is>
          <t>Attrited</t>
        </is>
      </c>
      <c r="P71" s="5" t="inlineStr">
        <is>
          <t>Feb 2026</t>
        </is>
      </c>
      <c r="Q71" s="5" t="inlineStr">
        <is>
          <t>Toxic Manager</t>
        </is>
      </c>
      <c r="R71" s="5" t="inlineStr">
        <is>
          <t>—</t>
        </is>
      </c>
    </row>
    <row r="72">
      <c r="A72" s="2" t="inlineStr">
        <is>
          <t>BFL10071</t>
        </is>
      </c>
      <c r="B72" s="3" t="inlineStr">
        <is>
          <t>Lata Iyer</t>
        </is>
      </c>
      <c r="C72" s="2" t="inlineStr">
        <is>
          <t>M1</t>
        </is>
      </c>
      <c r="D72" s="2" t="inlineStr">
        <is>
          <t>Customer Experience</t>
        </is>
      </c>
      <c r="E72" s="2" t="inlineStr">
        <is>
          <t>Mumbai</t>
        </is>
      </c>
      <c r="F72" s="2" t="inlineStr">
        <is>
          <t>2019-09-01</t>
        </is>
      </c>
      <c r="G72" s="2" t="n">
        <v>0.2</v>
      </c>
      <c r="H72" s="2" t="n">
        <v>2</v>
      </c>
      <c r="I72" s="2" t="n">
        <v>3.9</v>
      </c>
      <c r="J72" s="2" t="inlineStr">
        <is>
          <t>Medium</t>
        </is>
      </c>
      <c r="K72" s="2" t="n">
        <v>5</v>
      </c>
      <c r="L72" s="2" t="n">
        <v>1</v>
      </c>
      <c r="M72" s="2" t="n">
        <v>3.1</v>
      </c>
      <c r="N72" s="2" t="n">
        <v>20</v>
      </c>
      <c r="O72" s="7" t="inlineStr">
        <is>
          <t>Attrited</t>
        </is>
      </c>
      <c r="P72" s="2" t="inlineStr">
        <is>
          <t>May 2025</t>
        </is>
      </c>
      <c r="Q72" s="2" t="inlineStr">
        <is>
          <t>Career Growth</t>
        </is>
      </c>
      <c r="R72" s="2" t="inlineStr">
        <is>
          <t>—</t>
        </is>
      </c>
    </row>
    <row r="73">
      <c r="A73" s="5" t="inlineStr">
        <is>
          <t>BFL10072</t>
        </is>
      </c>
      <c r="B73" s="6" t="inlineStr">
        <is>
          <t>Vivek Sharma</t>
        </is>
      </c>
      <c r="C73" s="5" t="inlineStr">
        <is>
          <t>M5</t>
        </is>
      </c>
      <c r="D73" s="5" t="inlineStr">
        <is>
          <t>Finance</t>
        </is>
      </c>
      <c r="E73" s="5" t="inlineStr">
        <is>
          <t>Chennai</t>
        </is>
      </c>
      <c r="F73" s="5" t="inlineStr">
        <is>
          <t>2018-11-01</t>
        </is>
      </c>
      <c r="G73" s="5" t="n">
        <v>6.6</v>
      </c>
      <c r="H73" s="5" t="n">
        <v>3</v>
      </c>
      <c r="I73" s="5" t="n">
        <v>4.7</v>
      </c>
      <c r="J73" s="5" t="inlineStr">
        <is>
          <t>High</t>
        </is>
      </c>
      <c r="K73" s="5" t="n">
        <v>29</v>
      </c>
      <c r="L73" s="5" t="n">
        <v>2</v>
      </c>
      <c r="M73" s="5" t="n">
        <v>3.2</v>
      </c>
      <c r="N73" s="5" t="n">
        <v>4</v>
      </c>
      <c r="O73" s="7" t="inlineStr">
        <is>
          <t>Attrited</t>
        </is>
      </c>
      <c r="P73" s="5" t="inlineStr">
        <is>
          <t>Apr 2025</t>
        </is>
      </c>
      <c r="Q73" s="5" t="inlineStr">
        <is>
          <t>Relocation</t>
        </is>
      </c>
      <c r="R73" s="5" t="inlineStr">
        <is>
          <t>—</t>
        </is>
      </c>
    </row>
    <row r="74">
      <c r="A74" s="2" t="inlineStr">
        <is>
          <t>BFL10073</t>
        </is>
      </c>
      <c r="B74" s="3" t="inlineStr">
        <is>
          <t>Renu Verma</t>
        </is>
      </c>
      <c r="C74" s="2" t="inlineStr">
        <is>
          <t>M1</t>
        </is>
      </c>
      <c r="D74" s="2" t="inlineStr">
        <is>
          <t>Risk &amp; Compliance</t>
        </is>
      </c>
      <c r="E74" s="2" t="inlineStr">
        <is>
          <t>Chennai</t>
        </is>
      </c>
      <c r="F74" s="2" t="inlineStr">
        <is>
          <t>2017-07-01</t>
        </is>
      </c>
      <c r="G74" s="2" t="n">
        <v>0.9</v>
      </c>
      <c r="H74" s="2" t="n">
        <v>2</v>
      </c>
      <c r="I74" s="2" t="n">
        <v>3.6</v>
      </c>
      <c r="J74" s="2" t="inlineStr">
        <is>
          <t>Medium</t>
        </is>
      </c>
      <c r="K74" s="2" t="n">
        <v>4</v>
      </c>
      <c r="L74" s="2" t="n">
        <v>1</v>
      </c>
      <c r="M74" s="2" t="n">
        <v>4</v>
      </c>
      <c r="N74" s="2" t="n">
        <v>15</v>
      </c>
      <c r="O74" s="4" t="inlineStr">
        <is>
          <t>Active</t>
        </is>
      </c>
      <c r="P74" s="2" t="inlineStr"/>
      <c r="Q74" s="2" t="inlineStr"/>
      <c r="R74" s="7" t="inlineStr">
        <is>
          <t>High Risk</t>
        </is>
      </c>
    </row>
    <row r="75">
      <c r="A75" s="5" t="inlineStr">
        <is>
          <t>BFL10074</t>
        </is>
      </c>
      <c r="B75" s="6" t="inlineStr">
        <is>
          <t>Nikhil Singh</t>
        </is>
      </c>
      <c r="C75" s="5" t="inlineStr">
        <is>
          <t>M1</t>
        </is>
      </c>
      <c r="D75" s="5" t="inlineStr">
        <is>
          <t>Finance</t>
        </is>
      </c>
      <c r="E75" s="5" t="inlineStr">
        <is>
          <t>Pune</t>
        </is>
      </c>
      <c r="F75" s="5" t="inlineStr">
        <is>
          <t>2022-08-01</t>
        </is>
      </c>
      <c r="G75" s="5" t="n">
        <v>1.9</v>
      </c>
      <c r="H75" s="5" t="n">
        <v>2</v>
      </c>
      <c r="I75" s="5" t="n">
        <v>1.8</v>
      </c>
      <c r="J75" s="5" t="inlineStr">
        <is>
          <t>Very Low</t>
        </is>
      </c>
      <c r="K75" s="5" t="n">
        <v>5</v>
      </c>
      <c r="L75" s="5" t="n">
        <v>1</v>
      </c>
      <c r="M75" s="5" t="n">
        <v>4.7</v>
      </c>
      <c r="N75" s="5" t="n">
        <v>20</v>
      </c>
      <c r="O75" s="7" t="inlineStr">
        <is>
          <t>Attrited</t>
        </is>
      </c>
      <c r="P75" s="5" t="inlineStr">
        <is>
          <t>Apr 2025</t>
        </is>
      </c>
      <c r="Q75" s="5" t="inlineStr">
        <is>
          <t>Toxic Manager</t>
        </is>
      </c>
      <c r="R75" s="5" t="inlineStr">
        <is>
          <t>—</t>
        </is>
      </c>
    </row>
    <row r="76">
      <c r="A76" s="2" t="inlineStr">
        <is>
          <t>BFL10075</t>
        </is>
      </c>
      <c r="B76" s="3" t="inlineStr">
        <is>
          <t>Divya Nair</t>
        </is>
      </c>
      <c r="C76" s="2" t="inlineStr">
        <is>
          <t>M1</t>
        </is>
      </c>
      <c r="D76" s="2" t="inlineStr">
        <is>
          <t>Collections</t>
        </is>
      </c>
      <c r="E76" s="2" t="inlineStr">
        <is>
          <t>Mumbai</t>
        </is>
      </c>
      <c r="F76" s="2" t="inlineStr">
        <is>
          <t>2018-11-01</t>
        </is>
      </c>
      <c r="G76" s="2" t="n">
        <v>1.3</v>
      </c>
      <c r="H76" s="2" t="n">
        <v>3</v>
      </c>
      <c r="I76" s="2" t="n">
        <v>1.7</v>
      </c>
      <c r="J76" s="2" t="inlineStr">
        <is>
          <t>Very Low</t>
        </is>
      </c>
      <c r="K76" s="2" t="n">
        <v>5</v>
      </c>
      <c r="L76" s="2" t="n">
        <v>0</v>
      </c>
      <c r="M76" s="2" t="n">
        <v>5</v>
      </c>
      <c r="N76" s="2" t="n">
        <v>18</v>
      </c>
      <c r="O76" s="7" t="inlineStr">
        <is>
          <t>Attrited</t>
        </is>
      </c>
      <c r="P76" s="2" t="inlineStr">
        <is>
          <t>May 2025</t>
        </is>
      </c>
      <c r="Q76" s="2" t="inlineStr">
        <is>
          <t>Startup Opportunity</t>
        </is>
      </c>
      <c r="R76" s="2" t="inlineStr">
        <is>
          <t>—</t>
        </is>
      </c>
    </row>
    <row r="77">
      <c r="A77" s="5" t="inlineStr">
        <is>
          <t>BFL10076</t>
        </is>
      </c>
      <c r="B77" s="6" t="inlineStr">
        <is>
          <t>Pooja Malhotra</t>
        </is>
      </c>
      <c r="C77" s="5" t="inlineStr">
        <is>
          <t>M2</t>
        </is>
      </c>
      <c r="D77" s="5" t="inlineStr">
        <is>
          <t>Risk &amp; Compliance</t>
        </is>
      </c>
      <c r="E77" s="5" t="inlineStr">
        <is>
          <t>Delhi</t>
        </is>
      </c>
      <c r="F77" s="5" t="inlineStr">
        <is>
          <t>2017-10-01</t>
        </is>
      </c>
      <c r="G77" s="5" t="n">
        <v>1</v>
      </c>
      <c r="H77" s="5" t="n">
        <v>4</v>
      </c>
      <c r="I77" s="5" t="n">
        <v>5</v>
      </c>
      <c r="J77" s="5" t="inlineStr">
        <is>
          <t>High</t>
        </is>
      </c>
      <c r="K77" s="5" t="n">
        <v>8</v>
      </c>
      <c r="L77" s="5" t="n">
        <v>0</v>
      </c>
      <c r="M77" s="5" t="n">
        <v>2.3</v>
      </c>
      <c r="N77" s="5" t="n">
        <v>0</v>
      </c>
      <c r="O77" s="7" t="inlineStr">
        <is>
          <t>Attrited</t>
        </is>
      </c>
      <c r="P77" s="5" t="inlineStr">
        <is>
          <t>Apr 2025</t>
        </is>
      </c>
      <c r="Q77" s="5" t="inlineStr">
        <is>
          <t>Personal Reasons</t>
        </is>
      </c>
      <c r="R77" s="5" t="inlineStr">
        <is>
          <t>—</t>
        </is>
      </c>
    </row>
    <row r="78">
      <c r="A78" s="2" t="inlineStr">
        <is>
          <t>BFL10077</t>
        </is>
      </c>
      <c r="B78" s="3" t="inlineStr">
        <is>
          <t>Sneha Malhotra</t>
        </is>
      </c>
      <c r="C78" s="2" t="inlineStr">
        <is>
          <t>M3</t>
        </is>
      </c>
      <c r="D78" s="2" t="inlineStr">
        <is>
          <t>Sales</t>
        </is>
      </c>
      <c r="E78" s="2" t="inlineStr">
        <is>
          <t>Pune</t>
        </is>
      </c>
      <c r="F78" s="2" t="inlineStr">
        <is>
          <t>2019-01-01</t>
        </is>
      </c>
      <c r="G78" s="2" t="n">
        <v>2.5</v>
      </c>
      <c r="H78" s="2" t="n">
        <v>2</v>
      </c>
      <c r="I78" s="2" t="n">
        <v>3.3</v>
      </c>
      <c r="J78" s="2" t="inlineStr">
        <is>
          <t>Medium</t>
        </is>
      </c>
      <c r="K78" s="2" t="n">
        <v>11</v>
      </c>
      <c r="L78" s="2" t="n">
        <v>1</v>
      </c>
      <c r="M78" s="2" t="n">
        <v>3.3</v>
      </c>
      <c r="N78" s="2" t="n">
        <v>11</v>
      </c>
      <c r="O78" s="4" t="inlineStr">
        <is>
          <t>Active</t>
        </is>
      </c>
      <c r="P78" s="2" t="inlineStr"/>
      <c r="Q78" s="2" t="inlineStr"/>
      <c r="R78" s="8" t="inlineStr">
        <is>
          <t>Medium Risk</t>
        </is>
      </c>
    </row>
    <row r="79">
      <c r="A79" s="5" t="inlineStr">
        <is>
          <t>BFL10078</t>
        </is>
      </c>
      <c r="B79" s="6" t="inlineStr">
        <is>
          <t>Nalini Verma</t>
        </is>
      </c>
      <c r="C79" s="5" t="inlineStr">
        <is>
          <t>M4</t>
        </is>
      </c>
      <c r="D79" s="5" t="inlineStr">
        <is>
          <t>Risk &amp; Compliance</t>
        </is>
      </c>
      <c r="E79" s="5" t="inlineStr">
        <is>
          <t>Chennai</t>
        </is>
      </c>
      <c r="F79" s="5" t="inlineStr">
        <is>
          <t>2015-12-01</t>
        </is>
      </c>
      <c r="G79" s="5" t="n">
        <v>8.699999999999999</v>
      </c>
      <c r="H79" s="5" t="n">
        <v>5</v>
      </c>
      <c r="I79" s="5" t="n">
        <v>3.1</v>
      </c>
      <c r="J79" s="5" t="inlineStr">
        <is>
          <t>Medium</t>
        </is>
      </c>
      <c r="K79" s="5" t="n">
        <v>17</v>
      </c>
      <c r="L79" s="5" t="n">
        <v>0</v>
      </c>
      <c r="M79" s="5" t="n">
        <v>5</v>
      </c>
      <c r="N79" s="5" t="n">
        <v>12</v>
      </c>
      <c r="O79" s="7" t="inlineStr">
        <is>
          <t>Attrited</t>
        </is>
      </c>
      <c r="P79" s="5" t="inlineStr">
        <is>
          <t>Feb 2026</t>
        </is>
      </c>
      <c r="Q79" s="5" t="inlineStr">
        <is>
          <t>Higher Salary</t>
        </is>
      </c>
      <c r="R79" s="5" t="inlineStr">
        <is>
          <t>—</t>
        </is>
      </c>
    </row>
    <row r="80">
      <c r="A80" s="2" t="inlineStr">
        <is>
          <t>BFL10079</t>
        </is>
      </c>
      <c r="B80" s="3" t="inlineStr">
        <is>
          <t>Renu Pandey</t>
        </is>
      </c>
      <c r="C80" s="2" t="inlineStr">
        <is>
          <t>M1</t>
        </is>
      </c>
      <c r="D80" s="2" t="inlineStr">
        <is>
          <t>Operations</t>
        </is>
      </c>
      <c r="E80" s="2" t="inlineStr">
        <is>
          <t>Delhi</t>
        </is>
      </c>
      <c r="F80" s="2" t="inlineStr">
        <is>
          <t>2024-03-01</t>
        </is>
      </c>
      <c r="G80" s="2" t="n">
        <v>0.1</v>
      </c>
      <c r="H80" s="2" t="n">
        <v>5</v>
      </c>
      <c r="I80" s="2" t="n">
        <v>3.7</v>
      </c>
      <c r="J80" s="2" t="inlineStr">
        <is>
          <t>Medium</t>
        </is>
      </c>
      <c r="K80" s="2" t="n">
        <v>5</v>
      </c>
      <c r="L80" s="2" t="n">
        <v>1</v>
      </c>
      <c r="M80" s="2" t="n">
        <v>5</v>
      </c>
      <c r="N80" s="2" t="n">
        <v>16</v>
      </c>
      <c r="O80" s="7" t="inlineStr">
        <is>
          <t>Attrited</t>
        </is>
      </c>
      <c r="P80" s="2" t="inlineStr">
        <is>
          <t>Nov 2025</t>
        </is>
      </c>
      <c r="Q80" s="2" t="inlineStr">
        <is>
          <t>Startup Opportunity</t>
        </is>
      </c>
      <c r="R80" s="2" t="inlineStr">
        <is>
          <t>—</t>
        </is>
      </c>
    </row>
    <row r="81">
      <c r="A81" s="5" t="inlineStr">
        <is>
          <t>BFL10080</t>
        </is>
      </c>
      <c r="B81" s="6" t="inlineStr">
        <is>
          <t>Sachin Shah</t>
        </is>
      </c>
      <c r="C81" s="5" t="inlineStr">
        <is>
          <t>M1</t>
        </is>
      </c>
      <c r="D81" s="5" t="inlineStr">
        <is>
          <t>Operations</t>
        </is>
      </c>
      <c r="E81" s="5" t="inlineStr">
        <is>
          <t>Ahmedabad</t>
        </is>
      </c>
      <c r="F81" s="5" t="inlineStr">
        <is>
          <t>2023-12-01</t>
        </is>
      </c>
      <c r="G81" s="5" t="n">
        <v>1.7</v>
      </c>
      <c r="H81" s="5" t="n">
        <v>2</v>
      </c>
      <c r="I81" s="5" t="n">
        <v>3.1</v>
      </c>
      <c r="J81" s="5" t="inlineStr">
        <is>
          <t>Medium</t>
        </is>
      </c>
      <c r="K81" s="5" t="n">
        <v>4</v>
      </c>
      <c r="L81" s="5" t="n">
        <v>1</v>
      </c>
      <c r="M81" s="5" t="n">
        <v>3</v>
      </c>
      <c r="N81" s="5" t="n">
        <v>14</v>
      </c>
      <c r="O81" s="4" t="inlineStr">
        <is>
          <t>Active</t>
        </is>
      </c>
      <c r="P81" s="5" t="inlineStr"/>
      <c r="Q81" s="5" t="inlineStr"/>
      <c r="R81" s="7" t="inlineStr">
        <is>
          <t>High Risk</t>
        </is>
      </c>
    </row>
    <row r="82">
      <c r="A82" s="2" t="inlineStr">
        <is>
          <t>BFL10081</t>
        </is>
      </c>
      <c r="B82" s="3" t="inlineStr">
        <is>
          <t>Nikhil Verma</t>
        </is>
      </c>
      <c r="C82" s="2" t="inlineStr">
        <is>
          <t>M3</t>
        </is>
      </c>
      <c r="D82" s="2" t="inlineStr">
        <is>
          <t>Customer Experience</t>
        </is>
      </c>
      <c r="E82" s="2" t="inlineStr">
        <is>
          <t>Delhi</t>
        </is>
      </c>
      <c r="F82" s="2" t="inlineStr">
        <is>
          <t>2019-06-01</t>
        </is>
      </c>
      <c r="G82" s="2" t="n">
        <v>5.8</v>
      </c>
      <c r="H82" s="2" t="n">
        <v>3</v>
      </c>
      <c r="I82" s="2" t="n">
        <v>1.7</v>
      </c>
      <c r="J82" s="2" t="inlineStr">
        <is>
          <t>Very Low</t>
        </is>
      </c>
      <c r="K82" s="2" t="n">
        <v>11</v>
      </c>
      <c r="L82" s="2" t="n">
        <v>0</v>
      </c>
      <c r="M82" s="2" t="n">
        <v>3.3</v>
      </c>
      <c r="N82" s="2" t="n">
        <v>11</v>
      </c>
      <c r="O82" s="7" t="inlineStr">
        <is>
          <t>Attrited</t>
        </is>
      </c>
      <c r="P82" s="2" t="inlineStr">
        <is>
          <t>Jun 2025</t>
        </is>
      </c>
      <c r="Q82" s="2" t="inlineStr">
        <is>
          <t>Startup Opportunity</t>
        </is>
      </c>
      <c r="R82" s="2" t="inlineStr">
        <is>
          <t>—</t>
        </is>
      </c>
    </row>
    <row r="83">
      <c r="A83" s="5" t="inlineStr">
        <is>
          <t>BFL10082</t>
        </is>
      </c>
      <c r="B83" s="6" t="inlineStr">
        <is>
          <t>Sunita Malhotra</t>
        </is>
      </c>
      <c r="C83" s="5" t="inlineStr">
        <is>
          <t>M5</t>
        </is>
      </c>
      <c r="D83" s="5" t="inlineStr">
        <is>
          <t>Finance</t>
        </is>
      </c>
      <c r="E83" s="5" t="inlineStr">
        <is>
          <t>Hyderabad</t>
        </is>
      </c>
      <c r="F83" s="5" t="inlineStr">
        <is>
          <t>2016-07-01</t>
        </is>
      </c>
      <c r="G83" s="5" t="n">
        <v>9.199999999999999</v>
      </c>
      <c r="H83" s="5" t="n">
        <v>2</v>
      </c>
      <c r="I83" s="5" t="n">
        <v>4.5</v>
      </c>
      <c r="J83" s="5" t="inlineStr">
        <is>
          <t>High</t>
        </is>
      </c>
      <c r="K83" s="5" t="n">
        <v>27</v>
      </c>
      <c r="L83" s="5" t="n">
        <v>0</v>
      </c>
      <c r="M83" s="5" t="n">
        <v>3.8</v>
      </c>
      <c r="N83" s="5" t="n">
        <v>11</v>
      </c>
      <c r="O83" s="7" t="inlineStr">
        <is>
          <t>Attrited</t>
        </is>
      </c>
      <c r="P83" s="5" t="inlineStr">
        <is>
          <t>Jan 2026</t>
        </is>
      </c>
      <c r="Q83" s="5" t="inlineStr">
        <is>
          <t>Startup Opportunity</t>
        </is>
      </c>
      <c r="R83" s="5" t="inlineStr">
        <is>
          <t>—</t>
        </is>
      </c>
    </row>
    <row r="84">
      <c r="A84" s="2" t="inlineStr">
        <is>
          <t>BFL10083</t>
        </is>
      </c>
      <c r="B84" s="3" t="inlineStr">
        <is>
          <t>Pooja Joshi</t>
        </is>
      </c>
      <c r="C84" s="2" t="inlineStr">
        <is>
          <t>M4</t>
        </is>
      </c>
      <c r="D84" s="2" t="inlineStr">
        <is>
          <t>Risk &amp; Compliance</t>
        </is>
      </c>
      <c r="E84" s="2" t="inlineStr">
        <is>
          <t>Ahmedabad</t>
        </is>
      </c>
      <c r="F84" s="2" t="inlineStr">
        <is>
          <t>2016-06-01</t>
        </is>
      </c>
      <c r="G84" s="2" t="n">
        <v>9.1</v>
      </c>
      <c r="H84" s="2" t="n">
        <v>2</v>
      </c>
      <c r="I84" s="2" t="n">
        <v>1.9</v>
      </c>
      <c r="J84" s="2" t="inlineStr">
        <is>
          <t>Very Low</t>
        </is>
      </c>
      <c r="K84" s="2" t="n">
        <v>19</v>
      </c>
      <c r="L84" s="2" t="n">
        <v>1</v>
      </c>
      <c r="M84" s="2" t="n">
        <v>2.7</v>
      </c>
      <c r="N84" s="2" t="n">
        <v>13</v>
      </c>
      <c r="O84" s="7" t="inlineStr">
        <is>
          <t>Attrited</t>
        </is>
      </c>
      <c r="P84" s="2" t="inlineStr">
        <is>
          <t>Dec 2025</t>
        </is>
      </c>
      <c r="Q84" s="2" t="inlineStr">
        <is>
          <t>Startup Opportunity</t>
        </is>
      </c>
      <c r="R84" s="2" t="inlineStr">
        <is>
          <t>—</t>
        </is>
      </c>
    </row>
    <row r="85">
      <c r="A85" s="5" t="inlineStr">
        <is>
          <t>BFL10084</t>
        </is>
      </c>
      <c r="B85" s="6" t="inlineStr">
        <is>
          <t>Priya Bose</t>
        </is>
      </c>
      <c r="C85" s="5" t="inlineStr">
        <is>
          <t>M3</t>
        </is>
      </c>
      <c r="D85" s="5" t="inlineStr">
        <is>
          <t>Sales</t>
        </is>
      </c>
      <c r="E85" s="5" t="inlineStr">
        <is>
          <t>Pune</t>
        </is>
      </c>
      <c r="F85" s="5" t="inlineStr">
        <is>
          <t>2019-12-01</t>
        </is>
      </c>
      <c r="G85" s="5" t="n">
        <v>5</v>
      </c>
      <c r="H85" s="5" t="n">
        <v>2</v>
      </c>
      <c r="I85" s="5" t="n">
        <v>2.7</v>
      </c>
      <c r="J85" s="5" t="inlineStr">
        <is>
          <t>Low</t>
        </is>
      </c>
      <c r="K85" s="5" t="n">
        <v>12</v>
      </c>
      <c r="L85" s="5" t="n">
        <v>0</v>
      </c>
      <c r="M85" s="5" t="n">
        <v>3.7</v>
      </c>
      <c r="N85" s="5" t="n">
        <v>12</v>
      </c>
      <c r="O85" s="7" t="inlineStr">
        <is>
          <t>Attrited</t>
        </is>
      </c>
      <c r="P85" s="5" t="inlineStr">
        <is>
          <t>Jun 2025</t>
        </is>
      </c>
      <c r="Q85" s="5" t="inlineStr">
        <is>
          <t>Better Opportunity</t>
        </is>
      </c>
      <c r="R85" s="5" t="inlineStr">
        <is>
          <t>—</t>
        </is>
      </c>
    </row>
    <row r="86">
      <c r="A86" s="2" t="inlineStr">
        <is>
          <t>BFL10085</t>
        </is>
      </c>
      <c r="B86" s="3" t="inlineStr">
        <is>
          <t>Meera Bhatt</t>
        </is>
      </c>
      <c r="C86" s="2" t="inlineStr">
        <is>
          <t>M2</t>
        </is>
      </c>
      <c r="D86" s="2" t="inlineStr">
        <is>
          <t>Customer Experience</t>
        </is>
      </c>
      <c r="E86" s="2" t="inlineStr">
        <is>
          <t>Bangalore</t>
        </is>
      </c>
      <c r="F86" s="2" t="inlineStr">
        <is>
          <t>2022-06-01</t>
        </is>
      </c>
      <c r="G86" s="2" t="n">
        <v>1.5</v>
      </c>
      <c r="H86" s="2" t="n">
        <v>5</v>
      </c>
      <c r="I86" s="2" t="n">
        <v>4</v>
      </c>
      <c r="J86" s="2" t="inlineStr">
        <is>
          <t>High</t>
        </is>
      </c>
      <c r="K86" s="2" t="n">
        <v>6</v>
      </c>
      <c r="L86" s="2" t="n">
        <v>0</v>
      </c>
      <c r="M86" s="2" t="n">
        <v>2.5</v>
      </c>
      <c r="N86" s="2" t="n">
        <v>19</v>
      </c>
      <c r="O86" s="7" t="inlineStr">
        <is>
          <t>Attrited</t>
        </is>
      </c>
      <c r="P86" s="2" t="inlineStr">
        <is>
          <t>Feb 2026</t>
        </is>
      </c>
      <c r="Q86" s="2" t="inlineStr">
        <is>
          <t>Higher Salary</t>
        </is>
      </c>
      <c r="R86" s="2" t="inlineStr">
        <is>
          <t>—</t>
        </is>
      </c>
    </row>
    <row r="87">
      <c r="A87" s="5" t="inlineStr">
        <is>
          <t>BFL10086</t>
        </is>
      </c>
      <c r="B87" s="6" t="inlineStr">
        <is>
          <t>Divya Pandey</t>
        </is>
      </c>
      <c r="C87" s="5" t="inlineStr">
        <is>
          <t>M4</t>
        </is>
      </c>
      <c r="D87" s="5" t="inlineStr">
        <is>
          <t>Collections</t>
        </is>
      </c>
      <c r="E87" s="5" t="inlineStr">
        <is>
          <t>Chennai</t>
        </is>
      </c>
      <c r="F87" s="5" t="inlineStr">
        <is>
          <t>2022-07-01</t>
        </is>
      </c>
      <c r="G87" s="5" t="n">
        <v>5.6</v>
      </c>
      <c r="H87" s="5" t="n">
        <v>3</v>
      </c>
      <c r="I87" s="5" t="n">
        <v>2.7</v>
      </c>
      <c r="J87" s="5" t="inlineStr">
        <is>
          <t>Low</t>
        </is>
      </c>
      <c r="K87" s="5" t="n">
        <v>17</v>
      </c>
      <c r="L87" s="5" t="n">
        <v>0</v>
      </c>
      <c r="M87" s="5" t="n">
        <v>4</v>
      </c>
      <c r="N87" s="5" t="n">
        <v>18</v>
      </c>
      <c r="O87" s="7" t="inlineStr">
        <is>
          <t>Attrited</t>
        </is>
      </c>
      <c r="P87" s="5" t="inlineStr">
        <is>
          <t>Dec 2025</t>
        </is>
      </c>
      <c r="Q87" s="5" t="inlineStr">
        <is>
          <t>Relocation</t>
        </is>
      </c>
      <c r="R87" s="5" t="inlineStr">
        <is>
          <t>—</t>
        </is>
      </c>
    </row>
    <row r="88">
      <c r="A88" s="2" t="inlineStr">
        <is>
          <t>BFL10087</t>
        </is>
      </c>
      <c r="B88" s="3" t="inlineStr">
        <is>
          <t>Amit Rao</t>
        </is>
      </c>
      <c r="C88" s="2" t="inlineStr">
        <is>
          <t>M4</t>
        </is>
      </c>
      <c r="D88" s="2" t="inlineStr">
        <is>
          <t>Sales</t>
        </is>
      </c>
      <c r="E88" s="2" t="inlineStr">
        <is>
          <t>Mumbai</t>
        </is>
      </c>
      <c r="F88" s="2" t="inlineStr">
        <is>
          <t>2018-05-01</t>
        </is>
      </c>
      <c r="G88" s="2" t="n">
        <v>9.699999999999999</v>
      </c>
      <c r="H88" s="2" t="n">
        <v>4</v>
      </c>
      <c r="I88" s="2" t="n">
        <v>4.2</v>
      </c>
      <c r="J88" s="2" t="inlineStr">
        <is>
          <t>High</t>
        </is>
      </c>
      <c r="K88" s="2" t="n">
        <v>19</v>
      </c>
      <c r="L88" s="2" t="n">
        <v>0</v>
      </c>
      <c r="M88" s="2" t="n">
        <v>2.4</v>
      </c>
      <c r="N88" s="2" t="n">
        <v>15</v>
      </c>
      <c r="O88" s="7" t="inlineStr">
        <is>
          <t>Attrited</t>
        </is>
      </c>
      <c r="P88" s="2" t="inlineStr">
        <is>
          <t>Oct 2025</t>
        </is>
      </c>
      <c r="Q88" s="2" t="inlineStr">
        <is>
          <t>Work-Life Balance</t>
        </is>
      </c>
      <c r="R88" s="2" t="inlineStr">
        <is>
          <t>—</t>
        </is>
      </c>
    </row>
    <row r="89">
      <c r="A89" s="5" t="inlineStr">
        <is>
          <t>BFL10088</t>
        </is>
      </c>
      <c r="B89" s="6" t="inlineStr">
        <is>
          <t>Rahul Mishra</t>
        </is>
      </c>
      <c r="C89" s="5" t="inlineStr">
        <is>
          <t>M5</t>
        </is>
      </c>
      <c r="D89" s="5" t="inlineStr">
        <is>
          <t>Risk &amp; Compliance</t>
        </is>
      </c>
      <c r="E89" s="5" t="inlineStr">
        <is>
          <t>Chennai</t>
        </is>
      </c>
      <c r="F89" s="5" t="inlineStr">
        <is>
          <t>2023-11-01</t>
        </is>
      </c>
      <c r="G89" s="5" t="n">
        <v>13.3</v>
      </c>
      <c r="H89" s="5" t="n">
        <v>3</v>
      </c>
      <c r="I89" s="5" t="n">
        <v>2.9</v>
      </c>
      <c r="J89" s="5" t="inlineStr">
        <is>
          <t>Low</t>
        </is>
      </c>
      <c r="K89" s="5" t="n">
        <v>27</v>
      </c>
      <c r="L89" s="5" t="n">
        <v>1</v>
      </c>
      <c r="M89" s="5" t="n">
        <v>2.1</v>
      </c>
      <c r="N89" s="5" t="n">
        <v>2</v>
      </c>
      <c r="O89" s="4" t="inlineStr">
        <is>
          <t>Active</t>
        </is>
      </c>
      <c r="P89" s="5" t="inlineStr"/>
      <c r="Q89" s="5" t="inlineStr"/>
      <c r="R89" s="8" t="inlineStr">
        <is>
          <t>Medium Risk</t>
        </is>
      </c>
    </row>
    <row r="90">
      <c r="A90" s="2" t="inlineStr">
        <is>
          <t>BFL10089</t>
        </is>
      </c>
      <c r="B90" s="3" t="inlineStr">
        <is>
          <t>Ashish Malhotra</t>
        </is>
      </c>
      <c r="C90" s="2" t="inlineStr">
        <is>
          <t>M4</t>
        </is>
      </c>
      <c r="D90" s="2" t="inlineStr">
        <is>
          <t>Customer Experience</t>
        </is>
      </c>
      <c r="E90" s="2" t="inlineStr">
        <is>
          <t>Hyderabad</t>
        </is>
      </c>
      <c r="F90" s="2" t="inlineStr">
        <is>
          <t>2021-05-01</t>
        </is>
      </c>
      <c r="G90" s="2" t="n">
        <v>4.7</v>
      </c>
      <c r="H90" s="2" t="n">
        <v>3</v>
      </c>
      <c r="I90" s="2" t="n">
        <v>4.9</v>
      </c>
      <c r="J90" s="2" t="inlineStr">
        <is>
          <t>High</t>
        </is>
      </c>
      <c r="K90" s="2" t="n">
        <v>18</v>
      </c>
      <c r="L90" s="2" t="n">
        <v>1</v>
      </c>
      <c r="M90" s="2" t="n">
        <v>3.4</v>
      </c>
      <c r="N90" s="2" t="n">
        <v>11</v>
      </c>
      <c r="O90" s="7" t="inlineStr">
        <is>
          <t>Attrited</t>
        </is>
      </c>
      <c r="P90" s="2" t="inlineStr">
        <is>
          <t>Oct 2025</t>
        </is>
      </c>
      <c r="Q90" s="2" t="inlineStr">
        <is>
          <t>Higher Salary</t>
        </is>
      </c>
      <c r="R90" s="2" t="inlineStr">
        <is>
          <t>—</t>
        </is>
      </c>
    </row>
    <row r="91">
      <c r="A91" s="5" t="inlineStr">
        <is>
          <t>BFL10090</t>
        </is>
      </c>
      <c r="B91" s="6" t="inlineStr">
        <is>
          <t>Sneha Shah</t>
        </is>
      </c>
      <c r="C91" s="5" t="inlineStr">
        <is>
          <t>M5</t>
        </is>
      </c>
      <c r="D91" s="5" t="inlineStr">
        <is>
          <t>Customer Experience</t>
        </is>
      </c>
      <c r="E91" s="5" t="inlineStr">
        <is>
          <t>Chennai</t>
        </is>
      </c>
      <c r="F91" s="5" t="inlineStr">
        <is>
          <t>2016-07-01</t>
        </is>
      </c>
      <c r="G91" s="5" t="n">
        <v>13.8</v>
      </c>
      <c r="H91" s="5" t="n">
        <v>2</v>
      </c>
      <c r="I91" s="5" t="n">
        <v>2.3</v>
      </c>
      <c r="J91" s="5" t="inlineStr">
        <is>
          <t>Low</t>
        </is>
      </c>
      <c r="K91" s="5" t="n">
        <v>28</v>
      </c>
      <c r="L91" s="5" t="n">
        <v>0</v>
      </c>
      <c r="M91" s="5" t="n">
        <v>3.5</v>
      </c>
      <c r="N91" s="5" t="n">
        <v>3</v>
      </c>
      <c r="O91" s="7" t="inlineStr">
        <is>
          <t>Attrited</t>
        </is>
      </c>
      <c r="P91" s="5" t="inlineStr">
        <is>
          <t>Dec 2025</t>
        </is>
      </c>
      <c r="Q91" s="5" t="inlineStr">
        <is>
          <t>Career Growth</t>
        </is>
      </c>
      <c r="R91" s="5" t="inlineStr">
        <is>
          <t>—</t>
        </is>
      </c>
    </row>
    <row r="92">
      <c r="A92" s="2" t="inlineStr">
        <is>
          <t>BFL10091</t>
        </is>
      </c>
      <c r="B92" s="3" t="inlineStr">
        <is>
          <t>Varun Iyer</t>
        </is>
      </c>
      <c r="C92" s="2" t="inlineStr">
        <is>
          <t>M2</t>
        </is>
      </c>
      <c r="D92" s="2" t="inlineStr">
        <is>
          <t>Risk &amp; Compliance</t>
        </is>
      </c>
      <c r="E92" s="2" t="inlineStr">
        <is>
          <t>Mumbai</t>
        </is>
      </c>
      <c r="F92" s="2" t="inlineStr">
        <is>
          <t>2017-05-01</t>
        </is>
      </c>
      <c r="G92" s="2" t="n">
        <v>1.6</v>
      </c>
      <c r="H92" s="2" t="n">
        <v>4</v>
      </c>
      <c r="I92" s="2" t="n">
        <v>4.2</v>
      </c>
      <c r="J92" s="2" t="inlineStr">
        <is>
          <t>High</t>
        </is>
      </c>
      <c r="K92" s="2" t="n">
        <v>6</v>
      </c>
      <c r="L92" s="2" t="n">
        <v>0</v>
      </c>
      <c r="M92" s="2" t="n">
        <v>4.9</v>
      </c>
      <c r="N92" s="2" t="n">
        <v>20</v>
      </c>
      <c r="O92" s="4" t="inlineStr">
        <is>
          <t>Active</t>
        </is>
      </c>
      <c r="P92" s="2" t="inlineStr"/>
      <c r="Q92" s="2" t="inlineStr"/>
      <c r="R92" s="7" t="inlineStr">
        <is>
          <t>High Risk</t>
        </is>
      </c>
    </row>
    <row r="93">
      <c r="A93" s="5" t="inlineStr">
        <is>
          <t>BFL10092</t>
        </is>
      </c>
      <c r="B93" s="6" t="inlineStr">
        <is>
          <t>Usha Malhotra</t>
        </is>
      </c>
      <c r="C93" s="5" t="inlineStr">
        <is>
          <t>M5</t>
        </is>
      </c>
      <c r="D93" s="5" t="inlineStr">
        <is>
          <t>Collections</t>
        </is>
      </c>
      <c r="E93" s="5" t="inlineStr">
        <is>
          <t>Hyderabad</t>
        </is>
      </c>
      <c r="F93" s="5" t="inlineStr">
        <is>
          <t>2024-11-01</t>
        </is>
      </c>
      <c r="G93" s="5" t="n">
        <v>11.7</v>
      </c>
      <c r="H93" s="5" t="n">
        <v>2</v>
      </c>
      <c r="I93" s="5" t="n">
        <v>4.5</v>
      </c>
      <c r="J93" s="5" t="inlineStr">
        <is>
          <t>High</t>
        </is>
      </c>
      <c r="K93" s="5" t="n">
        <v>29</v>
      </c>
      <c r="L93" s="5" t="n">
        <v>0</v>
      </c>
      <c r="M93" s="5" t="n">
        <v>3.3</v>
      </c>
      <c r="N93" s="5" t="n">
        <v>15</v>
      </c>
      <c r="O93" s="7" t="inlineStr">
        <is>
          <t>Attrited</t>
        </is>
      </c>
      <c r="P93" s="5" t="inlineStr">
        <is>
          <t>Feb 2026</t>
        </is>
      </c>
      <c r="Q93" s="5" t="inlineStr">
        <is>
          <t>Relocation</t>
        </is>
      </c>
      <c r="R93" s="5" t="inlineStr">
        <is>
          <t>—</t>
        </is>
      </c>
    </row>
    <row r="94">
      <c r="A94" s="2" t="inlineStr">
        <is>
          <t>BFL10093</t>
        </is>
      </c>
      <c r="B94" s="3" t="inlineStr">
        <is>
          <t>Divya Malhotra</t>
        </is>
      </c>
      <c r="C94" s="2" t="inlineStr">
        <is>
          <t>M1</t>
        </is>
      </c>
      <c r="D94" s="2" t="inlineStr">
        <is>
          <t>Finance</t>
        </is>
      </c>
      <c r="E94" s="2" t="inlineStr">
        <is>
          <t>Chennai</t>
        </is>
      </c>
      <c r="F94" s="2" t="inlineStr">
        <is>
          <t>2016-05-01</t>
        </is>
      </c>
      <c r="G94" s="2" t="n">
        <v>0.9</v>
      </c>
      <c r="H94" s="2" t="n">
        <v>3</v>
      </c>
      <c r="I94" s="2" t="n">
        <v>1.7</v>
      </c>
      <c r="J94" s="2" t="inlineStr">
        <is>
          <t>Very Low</t>
        </is>
      </c>
      <c r="K94" s="2" t="n">
        <v>5</v>
      </c>
      <c r="L94" s="2" t="n">
        <v>0</v>
      </c>
      <c r="M94" s="2" t="n">
        <v>3.9</v>
      </c>
      <c r="N94" s="2" t="n">
        <v>2</v>
      </c>
      <c r="O94" s="7" t="inlineStr">
        <is>
          <t>Attrited</t>
        </is>
      </c>
      <c r="P94" s="2" t="inlineStr">
        <is>
          <t>Jan 2026</t>
        </is>
      </c>
      <c r="Q94" s="2" t="inlineStr">
        <is>
          <t>Startup Opportunity</t>
        </is>
      </c>
      <c r="R94" s="2" t="inlineStr">
        <is>
          <t>—</t>
        </is>
      </c>
    </row>
    <row r="95">
      <c r="A95" s="5" t="inlineStr">
        <is>
          <t>BFL10094</t>
        </is>
      </c>
      <c r="B95" s="6" t="inlineStr">
        <is>
          <t>Suresh Pandey</t>
        </is>
      </c>
      <c r="C95" s="5" t="inlineStr">
        <is>
          <t>M5</t>
        </is>
      </c>
      <c r="D95" s="5" t="inlineStr">
        <is>
          <t>Sales</t>
        </is>
      </c>
      <c r="E95" s="5" t="inlineStr">
        <is>
          <t>Bangalore</t>
        </is>
      </c>
      <c r="F95" s="5" t="inlineStr">
        <is>
          <t>2024-11-01</t>
        </is>
      </c>
      <c r="G95" s="5" t="n">
        <v>7.7</v>
      </c>
      <c r="H95" s="5" t="n">
        <v>3</v>
      </c>
      <c r="I95" s="5" t="n">
        <v>3.3</v>
      </c>
      <c r="J95" s="5" t="inlineStr">
        <is>
          <t>Medium</t>
        </is>
      </c>
      <c r="K95" s="5" t="n">
        <v>27</v>
      </c>
      <c r="L95" s="5" t="n">
        <v>1</v>
      </c>
      <c r="M95" s="5" t="n">
        <v>2.3</v>
      </c>
      <c r="N95" s="5" t="n">
        <v>10</v>
      </c>
      <c r="O95" s="4" t="inlineStr">
        <is>
          <t>Active</t>
        </is>
      </c>
      <c r="P95" s="5" t="inlineStr"/>
      <c r="Q95" s="5" t="inlineStr"/>
      <c r="R95" s="8" t="inlineStr">
        <is>
          <t>Medium Risk</t>
        </is>
      </c>
    </row>
    <row r="96">
      <c r="A96" s="2" t="inlineStr">
        <is>
          <t>BFL10095</t>
        </is>
      </c>
      <c r="B96" s="3" t="inlineStr">
        <is>
          <t>Meera Bhatt</t>
        </is>
      </c>
      <c r="C96" s="2" t="inlineStr">
        <is>
          <t>M2</t>
        </is>
      </c>
      <c r="D96" s="2" t="inlineStr">
        <is>
          <t>Sales</t>
        </is>
      </c>
      <c r="E96" s="2" t="inlineStr">
        <is>
          <t>Pune</t>
        </is>
      </c>
      <c r="F96" s="2" t="inlineStr">
        <is>
          <t>2022-08-01</t>
        </is>
      </c>
      <c r="G96" s="2" t="n">
        <v>2.6</v>
      </c>
      <c r="H96" s="2" t="n">
        <v>4</v>
      </c>
      <c r="I96" s="2" t="n">
        <v>2.8</v>
      </c>
      <c r="J96" s="2" t="inlineStr">
        <is>
          <t>Low</t>
        </is>
      </c>
      <c r="K96" s="2" t="n">
        <v>8</v>
      </c>
      <c r="L96" s="2" t="n">
        <v>1</v>
      </c>
      <c r="M96" s="2" t="n">
        <v>3.2</v>
      </c>
      <c r="N96" s="2" t="n">
        <v>10</v>
      </c>
      <c r="O96" s="4" t="inlineStr">
        <is>
          <t>Active</t>
        </is>
      </c>
      <c r="P96" s="2" t="inlineStr"/>
      <c r="Q96" s="2" t="inlineStr"/>
      <c r="R96" s="8" t="inlineStr">
        <is>
          <t>Medium Risk</t>
        </is>
      </c>
    </row>
    <row r="97">
      <c r="A97" s="5" t="inlineStr">
        <is>
          <t>BFL10096</t>
        </is>
      </c>
      <c r="B97" s="6" t="inlineStr">
        <is>
          <t>Sachin Patil</t>
        </is>
      </c>
      <c r="C97" s="5" t="inlineStr">
        <is>
          <t>M3</t>
        </is>
      </c>
      <c r="D97" s="5" t="inlineStr">
        <is>
          <t>Operations</t>
        </is>
      </c>
      <c r="E97" s="5" t="inlineStr">
        <is>
          <t>Delhi</t>
        </is>
      </c>
      <c r="F97" s="5" t="inlineStr">
        <is>
          <t>2016-09-01</t>
        </is>
      </c>
      <c r="G97" s="5" t="n">
        <v>4.7</v>
      </c>
      <c r="H97" s="5" t="n">
        <v>5</v>
      </c>
      <c r="I97" s="5" t="n">
        <v>2.4</v>
      </c>
      <c r="J97" s="5" t="inlineStr">
        <is>
          <t>Low</t>
        </is>
      </c>
      <c r="K97" s="5" t="n">
        <v>12</v>
      </c>
      <c r="L97" s="5" t="n">
        <v>0</v>
      </c>
      <c r="M97" s="5" t="n">
        <v>2.2</v>
      </c>
      <c r="N97" s="5" t="n">
        <v>4</v>
      </c>
      <c r="O97" s="7" t="inlineStr">
        <is>
          <t>Attrited</t>
        </is>
      </c>
      <c r="P97" s="5" t="inlineStr">
        <is>
          <t>Aug 2025</t>
        </is>
      </c>
      <c r="Q97" s="5" t="inlineStr">
        <is>
          <t>Toxic Manager</t>
        </is>
      </c>
      <c r="R97" s="5" t="inlineStr">
        <is>
          <t>—</t>
        </is>
      </c>
    </row>
    <row r="98">
      <c r="A98" s="2" t="inlineStr">
        <is>
          <t>BFL10097</t>
        </is>
      </c>
      <c r="B98" s="3" t="inlineStr">
        <is>
          <t>Rahul Bose</t>
        </is>
      </c>
      <c r="C98" s="2" t="inlineStr">
        <is>
          <t>M1</t>
        </is>
      </c>
      <c r="D98" s="2" t="inlineStr">
        <is>
          <t>HR</t>
        </is>
      </c>
      <c r="E98" s="2" t="inlineStr">
        <is>
          <t>Chennai</t>
        </is>
      </c>
      <c r="F98" s="2" t="inlineStr">
        <is>
          <t>2021-11-01</t>
        </is>
      </c>
      <c r="G98" s="2" t="n">
        <v>1.6</v>
      </c>
      <c r="H98" s="2" t="n">
        <v>4</v>
      </c>
      <c r="I98" s="2" t="n">
        <v>3.8</v>
      </c>
      <c r="J98" s="2" t="inlineStr">
        <is>
          <t>Medium</t>
        </is>
      </c>
      <c r="K98" s="2" t="n">
        <v>3</v>
      </c>
      <c r="L98" s="2" t="n">
        <v>2</v>
      </c>
      <c r="M98" s="2" t="n">
        <v>4</v>
      </c>
      <c r="N98" s="2" t="n">
        <v>16</v>
      </c>
      <c r="O98" s="7" t="inlineStr">
        <is>
          <t>Attrited</t>
        </is>
      </c>
      <c r="P98" s="2" t="inlineStr">
        <is>
          <t>Apr 2025</t>
        </is>
      </c>
      <c r="Q98" s="2" t="inlineStr">
        <is>
          <t>Personal Reasons</t>
        </is>
      </c>
      <c r="R98" s="2" t="inlineStr">
        <is>
          <t>—</t>
        </is>
      </c>
    </row>
    <row r="99">
      <c r="A99" s="5" t="inlineStr">
        <is>
          <t>BFL10098</t>
        </is>
      </c>
      <c r="B99" s="6" t="inlineStr">
        <is>
          <t>Geeta Kulkarni</t>
        </is>
      </c>
      <c r="C99" s="5" t="inlineStr">
        <is>
          <t>M2</t>
        </is>
      </c>
      <c r="D99" s="5" t="inlineStr">
        <is>
          <t>Finance</t>
        </is>
      </c>
      <c r="E99" s="5" t="inlineStr">
        <is>
          <t>Ahmedabad</t>
        </is>
      </c>
      <c r="F99" s="5" t="inlineStr">
        <is>
          <t>2022-04-01</t>
        </is>
      </c>
      <c r="G99" s="5" t="n">
        <v>1.7</v>
      </c>
      <c r="H99" s="5" t="n">
        <v>4</v>
      </c>
      <c r="I99" s="5" t="n">
        <v>2</v>
      </c>
      <c r="J99" s="5" t="inlineStr">
        <is>
          <t>Low</t>
        </is>
      </c>
      <c r="K99" s="5" t="n">
        <v>8</v>
      </c>
      <c r="L99" s="5" t="n">
        <v>0</v>
      </c>
      <c r="M99" s="5" t="n">
        <v>3.5</v>
      </c>
      <c r="N99" s="5" t="n">
        <v>17</v>
      </c>
      <c r="O99" s="7" t="inlineStr">
        <is>
          <t>Attrited</t>
        </is>
      </c>
      <c r="P99" s="5" t="inlineStr">
        <is>
          <t>Mar 2026</t>
        </is>
      </c>
      <c r="Q99" s="5" t="inlineStr">
        <is>
          <t>Startup Opportunity</t>
        </is>
      </c>
      <c r="R99" s="5" t="inlineStr">
        <is>
          <t>—</t>
        </is>
      </c>
    </row>
    <row r="100">
      <c r="A100" s="2" t="inlineStr">
        <is>
          <t>BFL10099</t>
        </is>
      </c>
      <c r="B100" s="3" t="inlineStr">
        <is>
          <t>Amit Desai</t>
        </is>
      </c>
      <c r="C100" s="2" t="inlineStr">
        <is>
          <t>M5</t>
        </is>
      </c>
      <c r="D100" s="2" t="inlineStr">
        <is>
          <t>Technology</t>
        </is>
      </c>
      <c r="E100" s="2" t="inlineStr">
        <is>
          <t>Chennai</t>
        </is>
      </c>
      <c r="F100" s="2" t="inlineStr">
        <is>
          <t>2021-03-01</t>
        </is>
      </c>
      <c r="G100" s="2" t="n">
        <v>7.5</v>
      </c>
      <c r="H100" s="2" t="n">
        <v>4</v>
      </c>
      <c r="I100" s="2" t="n">
        <v>4</v>
      </c>
      <c r="J100" s="2" t="inlineStr">
        <is>
          <t>High</t>
        </is>
      </c>
      <c r="K100" s="2" t="n">
        <v>27</v>
      </c>
      <c r="L100" s="2" t="n">
        <v>1</v>
      </c>
      <c r="M100" s="2" t="n">
        <v>3.1</v>
      </c>
      <c r="N100" s="2" t="n">
        <v>7</v>
      </c>
      <c r="O100" s="4" t="inlineStr">
        <is>
          <t>Active</t>
        </is>
      </c>
      <c r="P100" s="2" t="inlineStr"/>
      <c r="Q100" s="2" t="inlineStr"/>
      <c r="R100" s="4" t="inlineStr">
        <is>
          <t>Low Risk</t>
        </is>
      </c>
    </row>
    <row r="101">
      <c r="A101" s="5" t="inlineStr">
        <is>
          <t>BFL10100</t>
        </is>
      </c>
      <c r="B101" s="6" t="inlineStr">
        <is>
          <t>Preeti Gupta</t>
        </is>
      </c>
      <c r="C101" s="5" t="inlineStr">
        <is>
          <t>M4</t>
        </is>
      </c>
      <c r="D101" s="5" t="inlineStr">
        <is>
          <t>Risk &amp; Compliance</t>
        </is>
      </c>
      <c r="E101" s="5" t="inlineStr">
        <is>
          <t>Chennai</t>
        </is>
      </c>
      <c r="F101" s="5" t="inlineStr">
        <is>
          <t>2018-05-01</t>
        </is>
      </c>
      <c r="G101" s="5" t="n">
        <v>9.800000000000001</v>
      </c>
      <c r="H101" s="5" t="n">
        <v>3</v>
      </c>
      <c r="I101" s="5" t="n">
        <v>4.7</v>
      </c>
      <c r="J101" s="5" t="inlineStr">
        <is>
          <t>High</t>
        </is>
      </c>
      <c r="K101" s="5" t="n">
        <v>18</v>
      </c>
      <c r="L101" s="5" t="n">
        <v>0</v>
      </c>
      <c r="M101" s="5" t="n">
        <v>4</v>
      </c>
      <c r="N101" s="5" t="n">
        <v>18</v>
      </c>
      <c r="O101" s="7" t="inlineStr">
        <is>
          <t>Attrited</t>
        </is>
      </c>
      <c r="P101" s="5" t="inlineStr">
        <is>
          <t>Nov 2025</t>
        </is>
      </c>
      <c r="Q101" s="5" t="inlineStr">
        <is>
          <t>Relocation</t>
        </is>
      </c>
      <c r="R101" s="5" t="inlineStr">
        <is>
          <t>—</t>
        </is>
      </c>
    </row>
    <row r="102">
      <c r="A102" s="2" t="inlineStr">
        <is>
          <t>BFL10101</t>
        </is>
      </c>
      <c r="B102" s="3" t="inlineStr">
        <is>
          <t>Suresh Bhatt</t>
        </is>
      </c>
      <c r="C102" s="2" t="inlineStr">
        <is>
          <t>M5</t>
        </is>
      </c>
      <c r="D102" s="2" t="inlineStr">
        <is>
          <t>Customer Experience</t>
        </is>
      </c>
      <c r="E102" s="2" t="inlineStr">
        <is>
          <t>Pune</t>
        </is>
      </c>
      <c r="F102" s="2" t="inlineStr">
        <is>
          <t>2018-10-01</t>
        </is>
      </c>
      <c r="G102" s="2" t="n">
        <v>7.2</v>
      </c>
      <c r="H102" s="2" t="n">
        <v>5</v>
      </c>
      <c r="I102" s="2" t="n">
        <v>1.7</v>
      </c>
      <c r="J102" s="2" t="inlineStr">
        <is>
          <t>Very Low</t>
        </is>
      </c>
      <c r="K102" s="2" t="n">
        <v>30</v>
      </c>
      <c r="L102" s="2" t="n">
        <v>0</v>
      </c>
      <c r="M102" s="2" t="n">
        <v>3.7</v>
      </c>
      <c r="N102" s="2" t="n">
        <v>3</v>
      </c>
      <c r="O102" s="7" t="inlineStr">
        <is>
          <t>Attrited</t>
        </is>
      </c>
      <c r="P102" s="2" t="inlineStr">
        <is>
          <t>Dec 2025</t>
        </is>
      </c>
      <c r="Q102" s="2" t="inlineStr">
        <is>
          <t>Higher Salary</t>
        </is>
      </c>
      <c r="R102" s="2" t="inlineStr">
        <is>
          <t>—</t>
        </is>
      </c>
    </row>
    <row r="103">
      <c r="A103" s="5" t="inlineStr">
        <is>
          <t>BFL10102</t>
        </is>
      </c>
      <c r="B103" s="6" t="inlineStr">
        <is>
          <t>Manoj Mehta</t>
        </is>
      </c>
      <c r="C103" s="5" t="inlineStr">
        <is>
          <t>M2</t>
        </is>
      </c>
      <c r="D103" s="5" t="inlineStr">
        <is>
          <t>HR</t>
        </is>
      </c>
      <c r="E103" s="5" t="inlineStr">
        <is>
          <t>Bangalore</t>
        </is>
      </c>
      <c r="F103" s="5" t="inlineStr">
        <is>
          <t>2023-03-01</t>
        </is>
      </c>
      <c r="G103" s="5" t="n">
        <v>3.5</v>
      </c>
      <c r="H103" s="5" t="n">
        <v>3</v>
      </c>
      <c r="I103" s="5" t="n">
        <v>4.8</v>
      </c>
      <c r="J103" s="5" t="inlineStr">
        <is>
          <t>High</t>
        </is>
      </c>
      <c r="K103" s="5" t="n">
        <v>7</v>
      </c>
      <c r="L103" s="5" t="n">
        <v>1</v>
      </c>
      <c r="M103" s="5" t="n">
        <v>4.7</v>
      </c>
      <c r="N103" s="5" t="n">
        <v>0</v>
      </c>
      <c r="O103" s="4" t="inlineStr">
        <is>
          <t>Active</t>
        </is>
      </c>
      <c r="P103" s="5" t="inlineStr"/>
      <c r="Q103" s="5" t="inlineStr"/>
      <c r="R103" s="4" t="inlineStr">
        <is>
          <t>Low Risk</t>
        </is>
      </c>
    </row>
    <row r="104">
      <c r="A104" s="2" t="inlineStr">
        <is>
          <t>BFL10103</t>
        </is>
      </c>
      <c r="B104" s="3" t="inlineStr">
        <is>
          <t>Sunita Mishra</t>
        </is>
      </c>
      <c r="C104" s="2" t="inlineStr">
        <is>
          <t>M5</t>
        </is>
      </c>
      <c r="D104" s="2" t="inlineStr">
        <is>
          <t>Finance</t>
        </is>
      </c>
      <c r="E104" s="2" t="inlineStr">
        <is>
          <t>Pune</t>
        </is>
      </c>
      <c r="F104" s="2" t="inlineStr">
        <is>
          <t>2021-02-01</t>
        </is>
      </c>
      <c r="G104" s="2" t="n">
        <v>9.4</v>
      </c>
      <c r="H104" s="2" t="n">
        <v>3</v>
      </c>
      <c r="I104" s="2" t="n">
        <v>2.6</v>
      </c>
      <c r="J104" s="2" t="inlineStr">
        <is>
          <t>Low</t>
        </is>
      </c>
      <c r="K104" s="2" t="n">
        <v>27</v>
      </c>
      <c r="L104" s="2" t="n">
        <v>2</v>
      </c>
      <c r="M104" s="2" t="n">
        <v>3.9</v>
      </c>
      <c r="N104" s="2" t="n">
        <v>4</v>
      </c>
      <c r="O104" s="7" t="inlineStr">
        <is>
          <t>Attrited</t>
        </is>
      </c>
      <c r="P104" s="2" t="inlineStr">
        <is>
          <t>Apr 2025</t>
        </is>
      </c>
      <c r="Q104" s="2" t="inlineStr">
        <is>
          <t>Relocation</t>
        </is>
      </c>
      <c r="R104" s="2" t="inlineStr">
        <is>
          <t>—</t>
        </is>
      </c>
    </row>
    <row r="105">
      <c r="A105" s="5" t="inlineStr">
        <is>
          <t>BFL10104</t>
        </is>
      </c>
      <c r="B105" s="6" t="inlineStr">
        <is>
          <t>Vivek Joshi</t>
        </is>
      </c>
      <c r="C105" s="5" t="inlineStr">
        <is>
          <t>M4</t>
        </is>
      </c>
      <c r="D105" s="5" t="inlineStr">
        <is>
          <t>Collections</t>
        </is>
      </c>
      <c r="E105" s="5" t="inlineStr">
        <is>
          <t>Chennai</t>
        </is>
      </c>
      <c r="F105" s="5" t="inlineStr">
        <is>
          <t>2015-02-01</t>
        </is>
      </c>
      <c r="G105" s="5" t="n">
        <v>4.1</v>
      </c>
      <c r="H105" s="5" t="n">
        <v>4</v>
      </c>
      <c r="I105" s="5" t="n">
        <v>4.4</v>
      </c>
      <c r="J105" s="5" t="inlineStr">
        <is>
          <t>High</t>
        </is>
      </c>
      <c r="K105" s="5" t="n">
        <v>20</v>
      </c>
      <c r="L105" s="5" t="n">
        <v>0</v>
      </c>
      <c r="M105" s="5" t="n">
        <v>4.3</v>
      </c>
      <c r="N105" s="5" t="n">
        <v>7</v>
      </c>
      <c r="O105" s="7" t="inlineStr">
        <is>
          <t>Attrited</t>
        </is>
      </c>
      <c r="P105" s="5" t="inlineStr">
        <is>
          <t>May 2025</t>
        </is>
      </c>
      <c r="Q105" s="5" t="inlineStr">
        <is>
          <t>Better Opportunity</t>
        </is>
      </c>
      <c r="R105" s="5" t="inlineStr">
        <is>
          <t>—</t>
        </is>
      </c>
    </row>
    <row r="106">
      <c r="A106" s="2" t="inlineStr">
        <is>
          <t>BFL10105</t>
        </is>
      </c>
      <c r="B106" s="3" t="inlineStr">
        <is>
          <t>Sneha Shah</t>
        </is>
      </c>
      <c r="C106" s="2" t="inlineStr">
        <is>
          <t>M5</t>
        </is>
      </c>
      <c r="D106" s="2" t="inlineStr">
        <is>
          <t>Collections</t>
        </is>
      </c>
      <c r="E106" s="2" t="inlineStr">
        <is>
          <t>Mumbai</t>
        </is>
      </c>
      <c r="F106" s="2" t="inlineStr">
        <is>
          <t>2016-08-01</t>
        </is>
      </c>
      <c r="G106" s="2" t="n">
        <v>11.4</v>
      </c>
      <c r="H106" s="2" t="n">
        <v>3</v>
      </c>
      <c r="I106" s="2" t="n">
        <v>3.7</v>
      </c>
      <c r="J106" s="2" t="inlineStr">
        <is>
          <t>Medium</t>
        </is>
      </c>
      <c r="K106" s="2" t="n">
        <v>28</v>
      </c>
      <c r="L106" s="2" t="n">
        <v>2</v>
      </c>
      <c r="M106" s="2" t="n">
        <v>2.4</v>
      </c>
      <c r="N106" s="2" t="n">
        <v>13</v>
      </c>
      <c r="O106" s="7" t="inlineStr">
        <is>
          <t>Attrited</t>
        </is>
      </c>
      <c r="P106" s="2" t="inlineStr">
        <is>
          <t>Jan 2026</t>
        </is>
      </c>
      <c r="Q106" s="2" t="inlineStr">
        <is>
          <t>Personal Reasons</t>
        </is>
      </c>
      <c r="R106" s="2" t="inlineStr">
        <is>
          <t>—</t>
        </is>
      </c>
    </row>
    <row r="107">
      <c r="A107" s="5" t="inlineStr">
        <is>
          <t>BFL10106</t>
        </is>
      </c>
      <c r="B107" s="6" t="inlineStr">
        <is>
          <t>Sneha Malhotra</t>
        </is>
      </c>
      <c r="C107" s="5" t="inlineStr">
        <is>
          <t>M4</t>
        </is>
      </c>
      <c r="D107" s="5" t="inlineStr">
        <is>
          <t>Technology</t>
        </is>
      </c>
      <c r="E107" s="5" t="inlineStr">
        <is>
          <t>Hyderabad</t>
        </is>
      </c>
      <c r="F107" s="5" t="inlineStr">
        <is>
          <t>2016-09-01</t>
        </is>
      </c>
      <c r="G107" s="5" t="n">
        <v>9.800000000000001</v>
      </c>
      <c r="H107" s="5" t="n">
        <v>3</v>
      </c>
      <c r="I107" s="5" t="n">
        <v>4.8</v>
      </c>
      <c r="J107" s="5" t="inlineStr">
        <is>
          <t>High</t>
        </is>
      </c>
      <c r="K107" s="5" t="n">
        <v>17</v>
      </c>
      <c r="L107" s="5" t="n">
        <v>1</v>
      </c>
      <c r="M107" s="5" t="n">
        <v>4.6</v>
      </c>
      <c r="N107" s="5" t="n">
        <v>1</v>
      </c>
      <c r="O107" s="4" t="inlineStr">
        <is>
          <t>Active</t>
        </is>
      </c>
      <c r="P107" s="5" t="inlineStr"/>
      <c r="Q107" s="5" t="inlineStr"/>
      <c r="R107" s="4" t="inlineStr">
        <is>
          <t>Low Risk</t>
        </is>
      </c>
    </row>
    <row r="108">
      <c r="A108" s="2" t="inlineStr">
        <is>
          <t>BFL10107</t>
        </is>
      </c>
      <c r="B108" s="3" t="inlineStr">
        <is>
          <t>Suresh Iyer</t>
        </is>
      </c>
      <c r="C108" s="2" t="inlineStr">
        <is>
          <t>M3</t>
        </is>
      </c>
      <c r="D108" s="2" t="inlineStr">
        <is>
          <t>Sales</t>
        </is>
      </c>
      <c r="E108" s="2" t="inlineStr">
        <is>
          <t>Delhi</t>
        </is>
      </c>
      <c r="F108" s="2" t="inlineStr">
        <is>
          <t>2016-06-01</t>
        </is>
      </c>
      <c r="G108" s="2" t="n">
        <v>3</v>
      </c>
      <c r="H108" s="2" t="n">
        <v>3</v>
      </c>
      <c r="I108" s="2" t="n">
        <v>4.2</v>
      </c>
      <c r="J108" s="2" t="inlineStr">
        <is>
          <t>High</t>
        </is>
      </c>
      <c r="K108" s="2" t="n">
        <v>13</v>
      </c>
      <c r="L108" s="2" t="n">
        <v>0</v>
      </c>
      <c r="M108" s="2" t="n">
        <v>2.1</v>
      </c>
      <c r="N108" s="2" t="n">
        <v>17</v>
      </c>
      <c r="O108" s="7" t="inlineStr">
        <is>
          <t>Attrited</t>
        </is>
      </c>
      <c r="P108" s="2" t="inlineStr">
        <is>
          <t>Feb 2026</t>
        </is>
      </c>
      <c r="Q108" s="2" t="inlineStr">
        <is>
          <t>Work-Life Balance</t>
        </is>
      </c>
      <c r="R108" s="2" t="inlineStr">
        <is>
          <t>—</t>
        </is>
      </c>
    </row>
    <row r="109">
      <c r="A109" s="5" t="inlineStr">
        <is>
          <t>BFL10108</t>
        </is>
      </c>
      <c r="B109" s="6" t="inlineStr">
        <is>
          <t>Usha Reddy</t>
        </is>
      </c>
      <c r="C109" s="5" t="inlineStr">
        <is>
          <t>M2</t>
        </is>
      </c>
      <c r="D109" s="5" t="inlineStr">
        <is>
          <t>Technology</t>
        </is>
      </c>
      <c r="E109" s="5" t="inlineStr">
        <is>
          <t>Mumbai</t>
        </is>
      </c>
      <c r="F109" s="5" t="inlineStr">
        <is>
          <t>2022-01-01</t>
        </is>
      </c>
      <c r="G109" s="5" t="n">
        <v>1.9</v>
      </c>
      <c r="H109" s="5" t="n">
        <v>3</v>
      </c>
      <c r="I109" s="5" t="n">
        <v>4.3</v>
      </c>
      <c r="J109" s="5" t="inlineStr">
        <is>
          <t>High</t>
        </is>
      </c>
      <c r="K109" s="5" t="n">
        <v>6</v>
      </c>
      <c r="L109" s="5" t="n">
        <v>0</v>
      </c>
      <c r="M109" s="5" t="n">
        <v>4.8</v>
      </c>
      <c r="N109" s="5" t="n">
        <v>16</v>
      </c>
      <c r="O109" s="4" t="inlineStr">
        <is>
          <t>Active</t>
        </is>
      </c>
      <c r="P109" s="5" t="inlineStr"/>
      <c r="Q109" s="5" t="inlineStr"/>
      <c r="R109" s="7" t="inlineStr">
        <is>
          <t>High Risk</t>
        </is>
      </c>
    </row>
    <row r="110">
      <c r="A110" s="2" t="inlineStr">
        <is>
          <t>BFL10109</t>
        </is>
      </c>
      <c r="B110" s="3" t="inlineStr">
        <is>
          <t>Pranav Reddy</t>
        </is>
      </c>
      <c r="C110" s="2" t="inlineStr">
        <is>
          <t>M3</t>
        </is>
      </c>
      <c r="D110" s="2" t="inlineStr">
        <is>
          <t>Sales</t>
        </is>
      </c>
      <c r="E110" s="2" t="inlineStr">
        <is>
          <t>Ahmedabad</t>
        </is>
      </c>
      <c r="F110" s="2" t="inlineStr">
        <is>
          <t>2018-05-01</t>
        </is>
      </c>
      <c r="G110" s="2" t="n">
        <v>3.4</v>
      </c>
      <c r="H110" s="2" t="n">
        <v>3</v>
      </c>
      <c r="I110" s="2" t="n">
        <v>4.5</v>
      </c>
      <c r="J110" s="2" t="inlineStr">
        <is>
          <t>High</t>
        </is>
      </c>
      <c r="K110" s="2" t="n">
        <v>13</v>
      </c>
      <c r="L110" s="2" t="n">
        <v>0</v>
      </c>
      <c r="M110" s="2" t="n">
        <v>2.4</v>
      </c>
      <c r="N110" s="2" t="n">
        <v>11</v>
      </c>
      <c r="O110" s="7" t="inlineStr">
        <is>
          <t>Attrited</t>
        </is>
      </c>
      <c r="P110" s="2" t="inlineStr">
        <is>
          <t>Oct 2025</t>
        </is>
      </c>
      <c r="Q110" s="2" t="inlineStr">
        <is>
          <t>No Growth</t>
        </is>
      </c>
      <c r="R110" s="2" t="inlineStr">
        <is>
          <t>—</t>
        </is>
      </c>
    </row>
    <row r="111">
      <c r="A111" s="5" t="inlineStr">
        <is>
          <t>BFL10110</t>
        </is>
      </c>
      <c r="B111" s="6" t="inlineStr">
        <is>
          <t>Suresh Desai</t>
        </is>
      </c>
      <c r="C111" s="5" t="inlineStr">
        <is>
          <t>M2</t>
        </is>
      </c>
      <c r="D111" s="5" t="inlineStr">
        <is>
          <t>Collections</t>
        </is>
      </c>
      <c r="E111" s="5" t="inlineStr">
        <is>
          <t>Hyderabad</t>
        </is>
      </c>
      <c r="F111" s="5" t="inlineStr">
        <is>
          <t>2022-06-01</t>
        </is>
      </c>
      <c r="G111" s="5" t="n">
        <v>3.8</v>
      </c>
      <c r="H111" s="5" t="n">
        <v>5</v>
      </c>
      <c r="I111" s="5" t="n">
        <v>4.3</v>
      </c>
      <c r="J111" s="5" t="inlineStr">
        <is>
          <t>High</t>
        </is>
      </c>
      <c r="K111" s="5" t="n">
        <v>9</v>
      </c>
      <c r="L111" s="5" t="n">
        <v>0</v>
      </c>
      <c r="M111" s="5" t="n">
        <v>3.3</v>
      </c>
      <c r="N111" s="5" t="n">
        <v>5</v>
      </c>
      <c r="O111" s="7" t="inlineStr">
        <is>
          <t>Attrited</t>
        </is>
      </c>
      <c r="P111" s="5" t="inlineStr">
        <is>
          <t>Aug 2025</t>
        </is>
      </c>
      <c r="Q111" s="5" t="inlineStr">
        <is>
          <t>Personal Reasons</t>
        </is>
      </c>
      <c r="R111" s="5" t="inlineStr">
        <is>
          <t>—</t>
        </is>
      </c>
    </row>
    <row r="112">
      <c r="A112" s="2" t="inlineStr">
        <is>
          <t>BFL10111</t>
        </is>
      </c>
      <c r="B112" s="3" t="inlineStr">
        <is>
          <t>Ankit Mehta</t>
        </is>
      </c>
      <c r="C112" s="2" t="inlineStr">
        <is>
          <t>M3</t>
        </is>
      </c>
      <c r="D112" s="2" t="inlineStr">
        <is>
          <t>HR</t>
        </is>
      </c>
      <c r="E112" s="2" t="inlineStr">
        <is>
          <t>Delhi</t>
        </is>
      </c>
      <c r="F112" s="2" t="inlineStr">
        <is>
          <t>2022-10-01</t>
        </is>
      </c>
      <c r="G112" s="2" t="n">
        <v>4.9</v>
      </c>
      <c r="H112" s="2" t="n">
        <v>4</v>
      </c>
      <c r="I112" s="2" t="n">
        <v>3.9</v>
      </c>
      <c r="J112" s="2" t="inlineStr">
        <is>
          <t>Medium</t>
        </is>
      </c>
      <c r="K112" s="2" t="n">
        <v>13</v>
      </c>
      <c r="L112" s="2" t="n">
        <v>1</v>
      </c>
      <c r="M112" s="2" t="n">
        <v>2.1</v>
      </c>
      <c r="N112" s="2" t="n">
        <v>11</v>
      </c>
      <c r="O112" s="4" t="inlineStr">
        <is>
          <t>Active</t>
        </is>
      </c>
      <c r="P112" s="2" t="inlineStr"/>
      <c r="Q112" s="2" t="inlineStr"/>
      <c r="R112" s="8" t="inlineStr">
        <is>
          <t>Medium Risk</t>
        </is>
      </c>
    </row>
    <row r="113">
      <c r="A113" s="5" t="inlineStr">
        <is>
          <t>BFL10112</t>
        </is>
      </c>
      <c r="B113" s="6" t="inlineStr">
        <is>
          <t>Asha Singh</t>
        </is>
      </c>
      <c r="C113" s="5" t="inlineStr">
        <is>
          <t>M1</t>
        </is>
      </c>
      <c r="D113" s="5" t="inlineStr">
        <is>
          <t>Operations</t>
        </is>
      </c>
      <c r="E113" s="5" t="inlineStr">
        <is>
          <t>Hyderabad</t>
        </is>
      </c>
      <c r="F113" s="5" t="inlineStr">
        <is>
          <t>2021-06-01</t>
        </is>
      </c>
      <c r="G113" s="5" t="n">
        <v>1</v>
      </c>
      <c r="H113" s="5" t="n">
        <v>4</v>
      </c>
      <c r="I113" s="5" t="n">
        <v>4.8</v>
      </c>
      <c r="J113" s="5" t="inlineStr">
        <is>
          <t>High</t>
        </is>
      </c>
      <c r="K113" s="5" t="n">
        <v>4</v>
      </c>
      <c r="L113" s="5" t="n">
        <v>1</v>
      </c>
      <c r="M113" s="5" t="n">
        <v>4</v>
      </c>
      <c r="N113" s="5" t="n">
        <v>14</v>
      </c>
      <c r="O113" s="7" t="inlineStr">
        <is>
          <t>Attrited</t>
        </is>
      </c>
      <c r="P113" s="5" t="inlineStr">
        <is>
          <t>Jun 2025</t>
        </is>
      </c>
      <c r="Q113" s="5" t="inlineStr">
        <is>
          <t>Higher Salary</t>
        </is>
      </c>
      <c r="R113" s="5" t="inlineStr">
        <is>
          <t>—</t>
        </is>
      </c>
    </row>
    <row r="114">
      <c r="A114" s="2" t="inlineStr">
        <is>
          <t>BFL10113</t>
        </is>
      </c>
      <c r="B114" s="3" t="inlineStr">
        <is>
          <t>Sneha Iyer</t>
        </is>
      </c>
      <c r="C114" s="2" t="inlineStr">
        <is>
          <t>M3</t>
        </is>
      </c>
      <c r="D114" s="2" t="inlineStr">
        <is>
          <t>Customer Experience</t>
        </is>
      </c>
      <c r="E114" s="2" t="inlineStr">
        <is>
          <t>Chennai</t>
        </is>
      </c>
      <c r="F114" s="2" t="inlineStr">
        <is>
          <t>2015-10-01</t>
        </is>
      </c>
      <c r="G114" s="2" t="n">
        <v>2.6</v>
      </c>
      <c r="H114" s="2" t="n">
        <v>3</v>
      </c>
      <c r="I114" s="2" t="n">
        <v>4.8</v>
      </c>
      <c r="J114" s="2" t="inlineStr">
        <is>
          <t>High</t>
        </is>
      </c>
      <c r="K114" s="2" t="n">
        <v>13</v>
      </c>
      <c r="L114" s="2" t="n">
        <v>1</v>
      </c>
      <c r="M114" s="2" t="n">
        <v>4.3</v>
      </c>
      <c r="N114" s="2" t="n">
        <v>18</v>
      </c>
      <c r="O114" s="7" t="inlineStr">
        <is>
          <t>Attrited</t>
        </is>
      </c>
      <c r="P114" s="2" t="inlineStr">
        <is>
          <t>Dec 2025</t>
        </is>
      </c>
      <c r="Q114" s="2" t="inlineStr">
        <is>
          <t>Personal Reasons</t>
        </is>
      </c>
      <c r="R114" s="2" t="inlineStr">
        <is>
          <t>—</t>
        </is>
      </c>
    </row>
    <row r="115">
      <c r="A115" s="5" t="inlineStr">
        <is>
          <t>BFL10114</t>
        </is>
      </c>
      <c r="B115" s="6" t="inlineStr">
        <is>
          <t>Nandita Desai</t>
        </is>
      </c>
      <c r="C115" s="5" t="inlineStr">
        <is>
          <t>M3</t>
        </is>
      </c>
      <c r="D115" s="5" t="inlineStr">
        <is>
          <t>Risk &amp; Compliance</t>
        </is>
      </c>
      <c r="E115" s="5" t="inlineStr">
        <is>
          <t>Mumbai</t>
        </is>
      </c>
      <c r="F115" s="5" t="inlineStr">
        <is>
          <t>2015-12-01</t>
        </is>
      </c>
      <c r="G115" s="5" t="n">
        <v>2.7</v>
      </c>
      <c r="H115" s="5" t="n">
        <v>2</v>
      </c>
      <c r="I115" s="5" t="n">
        <v>4.7</v>
      </c>
      <c r="J115" s="5" t="inlineStr">
        <is>
          <t>High</t>
        </is>
      </c>
      <c r="K115" s="5" t="n">
        <v>11</v>
      </c>
      <c r="L115" s="5" t="n">
        <v>0</v>
      </c>
      <c r="M115" s="5" t="n">
        <v>4.3</v>
      </c>
      <c r="N115" s="5" t="n">
        <v>14</v>
      </c>
      <c r="O115" s="7" t="inlineStr">
        <is>
          <t>Attrited</t>
        </is>
      </c>
      <c r="P115" s="5" t="inlineStr">
        <is>
          <t>Jan 2026</t>
        </is>
      </c>
      <c r="Q115" s="5" t="inlineStr">
        <is>
          <t>Relocation</t>
        </is>
      </c>
      <c r="R115" s="5" t="inlineStr">
        <is>
          <t>—</t>
        </is>
      </c>
    </row>
    <row r="116">
      <c r="A116" s="2" t="inlineStr">
        <is>
          <t>BFL10115</t>
        </is>
      </c>
      <c r="B116" s="3" t="inlineStr">
        <is>
          <t>Renu Nair</t>
        </is>
      </c>
      <c r="C116" s="2" t="inlineStr">
        <is>
          <t>M1</t>
        </is>
      </c>
      <c r="D116" s="2" t="inlineStr">
        <is>
          <t>Technology</t>
        </is>
      </c>
      <c r="E116" s="2" t="inlineStr">
        <is>
          <t>Ahmedabad</t>
        </is>
      </c>
      <c r="F116" s="2" t="inlineStr">
        <is>
          <t>2016-08-01</t>
        </is>
      </c>
      <c r="G116" s="2" t="n">
        <v>0.3</v>
      </c>
      <c r="H116" s="2" t="n">
        <v>3</v>
      </c>
      <c r="I116" s="2" t="n">
        <v>5</v>
      </c>
      <c r="J116" s="2" t="inlineStr">
        <is>
          <t>High</t>
        </is>
      </c>
      <c r="K116" s="2" t="n">
        <v>5</v>
      </c>
      <c r="L116" s="2" t="n">
        <v>2</v>
      </c>
      <c r="M116" s="2" t="n">
        <v>3</v>
      </c>
      <c r="N116" s="2" t="n">
        <v>2</v>
      </c>
      <c r="O116" s="4" t="inlineStr">
        <is>
          <t>Active</t>
        </is>
      </c>
      <c r="P116" s="2" t="inlineStr"/>
      <c r="Q116" s="2" t="inlineStr"/>
      <c r="R116" s="4" t="inlineStr">
        <is>
          <t>Low Risk</t>
        </is>
      </c>
    </row>
    <row r="117">
      <c r="A117" s="5" t="inlineStr">
        <is>
          <t>BFL10116</t>
        </is>
      </c>
      <c r="B117" s="6" t="inlineStr">
        <is>
          <t>Pranav Gupta</t>
        </is>
      </c>
      <c r="C117" s="5" t="inlineStr">
        <is>
          <t>M3</t>
        </is>
      </c>
      <c r="D117" s="5" t="inlineStr">
        <is>
          <t>Technology</t>
        </is>
      </c>
      <c r="E117" s="5" t="inlineStr">
        <is>
          <t>Hyderabad</t>
        </is>
      </c>
      <c r="F117" s="5" t="inlineStr">
        <is>
          <t>2017-06-01</t>
        </is>
      </c>
      <c r="G117" s="5" t="n">
        <v>4</v>
      </c>
      <c r="H117" s="5" t="n">
        <v>3</v>
      </c>
      <c r="I117" s="5" t="n">
        <v>4.9</v>
      </c>
      <c r="J117" s="5" t="inlineStr">
        <is>
          <t>High</t>
        </is>
      </c>
      <c r="K117" s="5" t="n">
        <v>12</v>
      </c>
      <c r="L117" s="5" t="n">
        <v>0</v>
      </c>
      <c r="M117" s="5" t="n">
        <v>4.4</v>
      </c>
      <c r="N117" s="5" t="n">
        <v>0</v>
      </c>
      <c r="O117" s="7" t="inlineStr">
        <is>
          <t>Attrited</t>
        </is>
      </c>
      <c r="P117" s="5" t="inlineStr">
        <is>
          <t>Dec 2025</t>
        </is>
      </c>
      <c r="Q117" s="5" t="inlineStr">
        <is>
          <t>Personal Reasons</t>
        </is>
      </c>
      <c r="R117" s="5" t="inlineStr">
        <is>
          <t>—</t>
        </is>
      </c>
    </row>
    <row r="118">
      <c r="A118" s="2" t="inlineStr">
        <is>
          <t>BFL10117</t>
        </is>
      </c>
      <c r="B118" s="3" t="inlineStr">
        <is>
          <t>Usha Tiwari</t>
        </is>
      </c>
      <c r="C118" s="2" t="inlineStr">
        <is>
          <t>M2</t>
        </is>
      </c>
      <c r="D118" s="2" t="inlineStr">
        <is>
          <t>Operations</t>
        </is>
      </c>
      <c r="E118" s="2" t="inlineStr">
        <is>
          <t>Mumbai</t>
        </is>
      </c>
      <c r="F118" s="2" t="inlineStr">
        <is>
          <t>2019-07-01</t>
        </is>
      </c>
      <c r="G118" s="2" t="n">
        <v>4</v>
      </c>
      <c r="H118" s="2" t="n">
        <v>3</v>
      </c>
      <c r="I118" s="2" t="n">
        <v>3.3</v>
      </c>
      <c r="J118" s="2" t="inlineStr">
        <is>
          <t>Medium</t>
        </is>
      </c>
      <c r="K118" s="2" t="n">
        <v>9</v>
      </c>
      <c r="L118" s="2" t="n">
        <v>1</v>
      </c>
      <c r="M118" s="2" t="n">
        <v>2.2</v>
      </c>
      <c r="N118" s="2" t="n">
        <v>10</v>
      </c>
      <c r="O118" s="4" t="inlineStr">
        <is>
          <t>Active</t>
        </is>
      </c>
      <c r="P118" s="2" t="inlineStr"/>
      <c r="Q118" s="2" t="inlineStr"/>
      <c r="R118" s="8" t="inlineStr">
        <is>
          <t>Medium Risk</t>
        </is>
      </c>
    </row>
    <row r="119">
      <c r="A119" s="5" t="inlineStr">
        <is>
          <t>BFL10118</t>
        </is>
      </c>
      <c r="B119" s="6" t="inlineStr">
        <is>
          <t>Vikram Pandey</t>
        </is>
      </c>
      <c r="C119" s="5" t="inlineStr">
        <is>
          <t>M4</t>
        </is>
      </c>
      <c r="D119" s="5" t="inlineStr">
        <is>
          <t>Finance</t>
        </is>
      </c>
      <c r="E119" s="5" t="inlineStr">
        <is>
          <t>Pune</t>
        </is>
      </c>
      <c r="F119" s="5" t="inlineStr">
        <is>
          <t>2023-11-01</t>
        </is>
      </c>
      <c r="G119" s="5" t="n">
        <v>7.5</v>
      </c>
      <c r="H119" s="5" t="n">
        <v>4</v>
      </c>
      <c r="I119" s="5" t="n">
        <v>3</v>
      </c>
      <c r="J119" s="5" t="inlineStr">
        <is>
          <t>Medium</t>
        </is>
      </c>
      <c r="K119" s="5" t="n">
        <v>17</v>
      </c>
      <c r="L119" s="5" t="n">
        <v>0</v>
      </c>
      <c r="M119" s="5" t="n">
        <v>3.6</v>
      </c>
      <c r="N119" s="5" t="n">
        <v>9</v>
      </c>
      <c r="O119" s="7" t="inlineStr">
        <is>
          <t>Attrited</t>
        </is>
      </c>
      <c r="P119" s="5" t="inlineStr">
        <is>
          <t>Jun 2025</t>
        </is>
      </c>
      <c r="Q119" s="5" t="inlineStr">
        <is>
          <t>Personal Reasons</t>
        </is>
      </c>
      <c r="R119" s="5" t="inlineStr">
        <is>
          <t>—</t>
        </is>
      </c>
    </row>
    <row r="120">
      <c r="A120" s="2" t="inlineStr">
        <is>
          <t>BFL10119</t>
        </is>
      </c>
      <c r="B120" s="3" t="inlineStr">
        <is>
          <t>Arun Iyer</t>
        </is>
      </c>
      <c r="C120" s="2" t="inlineStr">
        <is>
          <t>M5</t>
        </is>
      </c>
      <c r="D120" s="2" t="inlineStr">
        <is>
          <t>HR</t>
        </is>
      </c>
      <c r="E120" s="2" t="inlineStr">
        <is>
          <t>Ahmedabad</t>
        </is>
      </c>
      <c r="F120" s="2" t="inlineStr">
        <is>
          <t>2016-05-01</t>
        </is>
      </c>
      <c r="G120" s="2" t="n">
        <v>7.8</v>
      </c>
      <c r="H120" s="2" t="n">
        <v>5</v>
      </c>
      <c r="I120" s="2" t="n">
        <v>1.9</v>
      </c>
      <c r="J120" s="2" t="inlineStr">
        <is>
          <t>Very Low</t>
        </is>
      </c>
      <c r="K120" s="2" t="n">
        <v>29</v>
      </c>
      <c r="L120" s="2" t="n">
        <v>1</v>
      </c>
      <c r="M120" s="2" t="n">
        <v>3.6</v>
      </c>
      <c r="N120" s="2" t="n">
        <v>16</v>
      </c>
      <c r="O120" s="7" t="inlineStr">
        <is>
          <t>Attrited</t>
        </is>
      </c>
      <c r="P120" s="2" t="inlineStr">
        <is>
          <t>Jun 2025</t>
        </is>
      </c>
      <c r="Q120" s="2" t="inlineStr">
        <is>
          <t>Work-Life Balance</t>
        </is>
      </c>
      <c r="R120" s="2" t="inlineStr">
        <is>
          <t>—</t>
        </is>
      </c>
    </row>
    <row r="121">
      <c r="A121" s="5" t="inlineStr">
        <is>
          <t>BFL10120</t>
        </is>
      </c>
      <c r="B121" s="6" t="inlineStr">
        <is>
          <t>Sanjay Bose</t>
        </is>
      </c>
      <c r="C121" s="5" t="inlineStr">
        <is>
          <t>M5</t>
        </is>
      </c>
      <c r="D121" s="5" t="inlineStr">
        <is>
          <t>Finance</t>
        </is>
      </c>
      <c r="E121" s="5" t="inlineStr">
        <is>
          <t>Ahmedabad</t>
        </is>
      </c>
      <c r="F121" s="5" t="inlineStr">
        <is>
          <t>2024-01-01</t>
        </is>
      </c>
      <c r="G121" s="5" t="n">
        <v>13.4</v>
      </c>
      <c r="H121" s="5" t="n">
        <v>3</v>
      </c>
      <c r="I121" s="5" t="n">
        <v>1.8</v>
      </c>
      <c r="J121" s="5" t="inlineStr">
        <is>
          <t>Very Low</t>
        </is>
      </c>
      <c r="K121" s="5" t="n">
        <v>29</v>
      </c>
      <c r="L121" s="5" t="n">
        <v>2</v>
      </c>
      <c r="M121" s="5" t="n">
        <v>2.6</v>
      </c>
      <c r="N121" s="5" t="n">
        <v>18</v>
      </c>
      <c r="O121" s="7" t="inlineStr">
        <is>
          <t>Attrited</t>
        </is>
      </c>
      <c r="P121" s="5" t="inlineStr">
        <is>
          <t>Jan 2026</t>
        </is>
      </c>
      <c r="Q121" s="5" t="inlineStr">
        <is>
          <t>Better Opportunity</t>
        </is>
      </c>
      <c r="R121" s="5" t="inlineStr">
        <is>
          <t>—</t>
        </is>
      </c>
    </row>
    <row r="122">
      <c r="A122" s="2" t="inlineStr">
        <is>
          <t>BFL10121</t>
        </is>
      </c>
      <c r="B122" s="3" t="inlineStr">
        <is>
          <t>Renu Tiwari</t>
        </is>
      </c>
      <c r="C122" s="2" t="inlineStr">
        <is>
          <t>M3</t>
        </is>
      </c>
      <c r="D122" s="2" t="inlineStr">
        <is>
          <t>HR</t>
        </is>
      </c>
      <c r="E122" s="2" t="inlineStr">
        <is>
          <t>Bangalore</t>
        </is>
      </c>
      <c r="F122" s="2" t="inlineStr">
        <is>
          <t>2018-11-01</t>
        </is>
      </c>
      <c r="G122" s="2" t="n">
        <v>3.6</v>
      </c>
      <c r="H122" s="2" t="n">
        <v>3</v>
      </c>
      <c r="I122" s="2" t="n">
        <v>1.8</v>
      </c>
      <c r="J122" s="2" t="inlineStr">
        <is>
          <t>Very Low</t>
        </is>
      </c>
      <c r="K122" s="2" t="n">
        <v>11</v>
      </c>
      <c r="L122" s="2" t="n">
        <v>0</v>
      </c>
      <c r="M122" s="2" t="n">
        <v>3.3</v>
      </c>
      <c r="N122" s="2" t="n">
        <v>15</v>
      </c>
      <c r="O122" s="7" t="inlineStr">
        <is>
          <t>Attrited</t>
        </is>
      </c>
      <c r="P122" s="2" t="inlineStr">
        <is>
          <t>Jul 2025</t>
        </is>
      </c>
      <c r="Q122" s="2" t="inlineStr">
        <is>
          <t>Personal Reasons</t>
        </is>
      </c>
      <c r="R122" s="2" t="inlineStr">
        <is>
          <t>—</t>
        </is>
      </c>
    </row>
    <row r="123">
      <c r="A123" s="5" t="inlineStr">
        <is>
          <t>BFL10122</t>
        </is>
      </c>
      <c r="B123" s="6" t="inlineStr">
        <is>
          <t>Sachin Joshi</t>
        </is>
      </c>
      <c r="C123" s="5" t="inlineStr">
        <is>
          <t>M3</t>
        </is>
      </c>
      <c r="D123" s="5" t="inlineStr">
        <is>
          <t>Finance</t>
        </is>
      </c>
      <c r="E123" s="5" t="inlineStr">
        <is>
          <t>Hyderabad</t>
        </is>
      </c>
      <c r="F123" s="5" t="inlineStr">
        <is>
          <t>2020-07-01</t>
        </is>
      </c>
      <c r="G123" s="5" t="n">
        <v>2.5</v>
      </c>
      <c r="H123" s="5" t="n">
        <v>2</v>
      </c>
      <c r="I123" s="5" t="n">
        <v>3.3</v>
      </c>
      <c r="J123" s="5" t="inlineStr">
        <is>
          <t>Medium</t>
        </is>
      </c>
      <c r="K123" s="5" t="n">
        <v>11</v>
      </c>
      <c r="L123" s="5" t="n">
        <v>0</v>
      </c>
      <c r="M123" s="5" t="n">
        <v>2.7</v>
      </c>
      <c r="N123" s="5" t="n">
        <v>3</v>
      </c>
      <c r="O123" s="7" t="inlineStr">
        <is>
          <t>Attrited</t>
        </is>
      </c>
      <c r="P123" s="5" t="inlineStr">
        <is>
          <t>Nov 2025</t>
        </is>
      </c>
      <c r="Q123" s="5" t="inlineStr">
        <is>
          <t>Career Growth</t>
        </is>
      </c>
      <c r="R123" s="5" t="inlineStr">
        <is>
          <t>—</t>
        </is>
      </c>
    </row>
    <row r="124">
      <c r="A124" s="2" t="inlineStr">
        <is>
          <t>BFL10123</t>
        </is>
      </c>
      <c r="B124" s="3" t="inlineStr">
        <is>
          <t>Neha Verma</t>
        </is>
      </c>
      <c r="C124" s="2" t="inlineStr">
        <is>
          <t>M1</t>
        </is>
      </c>
      <c r="D124" s="2" t="inlineStr">
        <is>
          <t>HR</t>
        </is>
      </c>
      <c r="E124" s="2" t="inlineStr">
        <is>
          <t>Bangalore</t>
        </is>
      </c>
      <c r="F124" s="2" t="inlineStr">
        <is>
          <t>2024-07-01</t>
        </is>
      </c>
      <c r="G124" s="2" t="n">
        <v>0.5</v>
      </c>
      <c r="H124" s="2" t="n">
        <v>4</v>
      </c>
      <c r="I124" s="2" t="n">
        <v>4.3</v>
      </c>
      <c r="J124" s="2" t="inlineStr">
        <is>
          <t>High</t>
        </is>
      </c>
      <c r="K124" s="2" t="n">
        <v>5</v>
      </c>
      <c r="L124" s="2" t="n">
        <v>0</v>
      </c>
      <c r="M124" s="2" t="n">
        <v>4.3</v>
      </c>
      <c r="N124" s="2" t="n">
        <v>15</v>
      </c>
      <c r="O124" s="4" t="inlineStr">
        <is>
          <t>Active</t>
        </is>
      </c>
      <c r="P124" s="2" t="inlineStr"/>
      <c r="Q124" s="2" t="inlineStr"/>
      <c r="R124" s="7" t="inlineStr">
        <is>
          <t>High Risk</t>
        </is>
      </c>
    </row>
    <row r="125">
      <c r="A125" s="5" t="inlineStr">
        <is>
          <t>BFL10124</t>
        </is>
      </c>
      <c r="B125" s="6" t="inlineStr">
        <is>
          <t>Usha Reddy</t>
        </is>
      </c>
      <c r="C125" s="5" t="inlineStr">
        <is>
          <t>M3</t>
        </is>
      </c>
      <c r="D125" s="5" t="inlineStr">
        <is>
          <t>Collections</t>
        </is>
      </c>
      <c r="E125" s="5" t="inlineStr">
        <is>
          <t>Mumbai</t>
        </is>
      </c>
      <c r="F125" s="5" t="inlineStr">
        <is>
          <t>2016-07-01</t>
        </is>
      </c>
      <c r="G125" s="5" t="n">
        <v>4</v>
      </c>
      <c r="H125" s="5" t="n">
        <v>4</v>
      </c>
      <c r="I125" s="5" t="n">
        <v>2.3</v>
      </c>
      <c r="J125" s="5" t="inlineStr">
        <is>
          <t>Low</t>
        </is>
      </c>
      <c r="K125" s="5" t="n">
        <v>13</v>
      </c>
      <c r="L125" s="5" t="n">
        <v>0</v>
      </c>
      <c r="M125" s="5" t="n">
        <v>2.2</v>
      </c>
      <c r="N125" s="5" t="n">
        <v>15</v>
      </c>
      <c r="O125" s="7" t="inlineStr">
        <is>
          <t>Attrited</t>
        </is>
      </c>
      <c r="P125" s="5" t="inlineStr">
        <is>
          <t>Feb 2026</t>
        </is>
      </c>
      <c r="Q125" s="5" t="inlineStr">
        <is>
          <t>No Growth</t>
        </is>
      </c>
      <c r="R125" s="5" t="inlineStr">
        <is>
          <t>—</t>
        </is>
      </c>
    </row>
    <row r="126">
      <c r="A126" s="2" t="inlineStr">
        <is>
          <t>BFL10125</t>
        </is>
      </c>
      <c r="B126" s="3" t="inlineStr">
        <is>
          <t>Manoj Tiwari</t>
        </is>
      </c>
      <c r="C126" s="2" t="inlineStr">
        <is>
          <t>M1</t>
        </is>
      </c>
      <c r="D126" s="2" t="inlineStr">
        <is>
          <t>Operations</t>
        </is>
      </c>
      <c r="E126" s="2" t="inlineStr">
        <is>
          <t>Bangalore</t>
        </is>
      </c>
      <c r="F126" s="2" t="inlineStr">
        <is>
          <t>2017-05-01</t>
        </is>
      </c>
      <c r="G126" s="2" t="n">
        <v>1.5</v>
      </c>
      <c r="H126" s="2" t="n">
        <v>2</v>
      </c>
      <c r="I126" s="2" t="n">
        <v>2.8</v>
      </c>
      <c r="J126" s="2" t="inlineStr">
        <is>
          <t>Low</t>
        </is>
      </c>
      <c r="K126" s="2" t="n">
        <v>6</v>
      </c>
      <c r="L126" s="2" t="n">
        <v>0</v>
      </c>
      <c r="M126" s="2" t="n">
        <v>3.7</v>
      </c>
      <c r="N126" s="2" t="n">
        <v>6</v>
      </c>
      <c r="O126" s="7" t="inlineStr">
        <is>
          <t>Attrited</t>
        </is>
      </c>
      <c r="P126" s="2" t="inlineStr">
        <is>
          <t>Dec 2025</t>
        </is>
      </c>
      <c r="Q126" s="2" t="inlineStr">
        <is>
          <t>Relocation</t>
        </is>
      </c>
      <c r="R126" s="2" t="inlineStr">
        <is>
          <t>—</t>
        </is>
      </c>
    </row>
    <row r="127">
      <c r="A127" s="5" t="inlineStr">
        <is>
          <t>BFL10126</t>
        </is>
      </c>
      <c r="B127" s="6" t="inlineStr">
        <is>
          <t>Vikram Mishra</t>
        </is>
      </c>
      <c r="C127" s="5" t="inlineStr">
        <is>
          <t>M5</t>
        </is>
      </c>
      <c r="D127" s="5" t="inlineStr">
        <is>
          <t>Collections</t>
        </is>
      </c>
      <c r="E127" s="5" t="inlineStr">
        <is>
          <t>Ahmedabad</t>
        </is>
      </c>
      <c r="F127" s="5" t="inlineStr">
        <is>
          <t>2023-05-01</t>
        </is>
      </c>
      <c r="G127" s="5" t="n">
        <v>13.4</v>
      </c>
      <c r="H127" s="5" t="n">
        <v>3</v>
      </c>
      <c r="I127" s="5" t="n">
        <v>2</v>
      </c>
      <c r="J127" s="5" t="inlineStr">
        <is>
          <t>Low</t>
        </is>
      </c>
      <c r="K127" s="5" t="n">
        <v>27</v>
      </c>
      <c r="L127" s="5" t="n">
        <v>1</v>
      </c>
      <c r="M127" s="5" t="n">
        <v>3.1</v>
      </c>
      <c r="N127" s="5" t="n">
        <v>10</v>
      </c>
      <c r="O127" s="7" t="inlineStr">
        <is>
          <t>Attrited</t>
        </is>
      </c>
      <c r="P127" s="5" t="inlineStr">
        <is>
          <t>Sep 2025</t>
        </is>
      </c>
      <c r="Q127" s="5" t="inlineStr">
        <is>
          <t>Work-Life Balance</t>
        </is>
      </c>
      <c r="R127" s="5" t="inlineStr">
        <is>
          <t>—</t>
        </is>
      </c>
    </row>
    <row r="128">
      <c r="A128" s="2" t="inlineStr">
        <is>
          <t>BFL10127</t>
        </is>
      </c>
      <c r="B128" s="3" t="inlineStr">
        <is>
          <t>Ravi Bose</t>
        </is>
      </c>
      <c r="C128" s="2" t="inlineStr">
        <is>
          <t>M5</t>
        </is>
      </c>
      <c r="D128" s="2" t="inlineStr">
        <is>
          <t>Customer Experience</t>
        </is>
      </c>
      <c r="E128" s="2" t="inlineStr">
        <is>
          <t>Chennai</t>
        </is>
      </c>
      <c r="F128" s="2" t="inlineStr">
        <is>
          <t>2015-01-01</t>
        </is>
      </c>
      <c r="G128" s="2" t="n">
        <v>6.4</v>
      </c>
      <c r="H128" s="2" t="n">
        <v>2</v>
      </c>
      <c r="I128" s="2" t="n">
        <v>4.3</v>
      </c>
      <c r="J128" s="2" t="inlineStr">
        <is>
          <t>High</t>
        </is>
      </c>
      <c r="K128" s="2" t="n">
        <v>30</v>
      </c>
      <c r="L128" s="2" t="n">
        <v>0</v>
      </c>
      <c r="M128" s="2" t="n">
        <v>3.8</v>
      </c>
      <c r="N128" s="2" t="n">
        <v>16</v>
      </c>
      <c r="O128" s="7" t="inlineStr">
        <is>
          <t>Attrited</t>
        </is>
      </c>
      <c r="P128" s="2" t="inlineStr">
        <is>
          <t>Sep 2025</t>
        </is>
      </c>
      <c r="Q128" s="2" t="inlineStr">
        <is>
          <t>Personal Reasons</t>
        </is>
      </c>
      <c r="R128" s="2" t="inlineStr">
        <is>
          <t>—</t>
        </is>
      </c>
    </row>
    <row r="129">
      <c r="A129" s="5" t="inlineStr">
        <is>
          <t>BFL10128</t>
        </is>
      </c>
      <c r="B129" s="6" t="inlineStr">
        <is>
          <t>Sanjay Mishra</t>
        </is>
      </c>
      <c r="C129" s="5" t="inlineStr">
        <is>
          <t>M5</t>
        </is>
      </c>
      <c r="D129" s="5" t="inlineStr">
        <is>
          <t>HR</t>
        </is>
      </c>
      <c r="E129" s="5" t="inlineStr">
        <is>
          <t>Chennai</t>
        </is>
      </c>
      <c r="F129" s="5" t="inlineStr">
        <is>
          <t>2020-09-01</t>
        </is>
      </c>
      <c r="G129" s="5" t="n">
        <v>13.5</v>
      </c>
      <c r="H129" s="5" t="n">
        <v>3</v>
      </c>
      <c r="I129" s="5" t="n">
        <v>4</v>
      </c>
      <c r="J129" s="5" t="inlineStr">
        <is>
          <t>High</t>
        </is>
      </c>
      <c r="K129" s="5" t="n">
        <v>29</v>
      </c>
      <c r="L129" s="5" t="n">
        <v>1</v>
      </c>
      <c r="M129" s="5" t="n">
        <v>4.4</v>
      </c>
      <c r="N129" s="5" t="n">
        <v>11</v>
      </c>
      <c r="O129" s="7" t="inlineStr">
        <is>
          <t>Attrited</t>
        </is>
      </c>
      <c r="P129" s="5" t="inlineStr">
        <is>
          <t>Feb 2026</t>
        </is>
      </c>
      <c r="Q129" s="5" t="inlineStr">
        <is>
          <t>Higher Salary</t>
        </is>
      </c>
      <c r="R129" s="5" t="inlineStr">
        <is>
          <t>—</t>
        </is>
      </c>
    </row>
    <row r="130">
      <c r="A130" s="2" t="inlineStr">
        <is>
          <t>BFL10129</t>
        </is>
      </c>
      <c r="B130" s="3" t="inlineStr">
        <is>
          <t>Nikhil Malhotra</t>
        </is>
      </c>
      <c r="C130" s="2" t="inlineStr">
        <is>
          <t>M3</t>
        </is>
      </c>
      <c r="D130" s="2" t="inlineStr">
        <is>
          <t>Sales</t>
        </is>
      </c>
      <c r="E130" s="2" t="inlineStr">
        <is>
          <t>Chennai</t>
        </is>
      </c>
      <c r="F130" s="2" t="inlineStr">
        <is>
          <t>2022-05-01</t>
        </is>
      </c>
      <c r="G130" s="2" t="n">
        <v>5.9</v>
      </c>
      <c r="H130" s="2" t="n">
        <v>4</v>
      </c>
      <c r="I130" s="2" t="n">
        <v>4</v>
      </c>
      <c r="J130" s="2" t="inlineStr">
        <is>
          <t>High</t>
        </is>
      </c>
      <c r="K130" s="2" t="n">
        <v>14</v>
      </c>
      <c r="L130" s="2" t="n">
        <v>0</v>
      </c>
      <c r="M130" s="2" t="n">
        <v>3.6</v>
      </c>
      <c r="N130" s="2" t="n">
        <v>19</v>
      </c>
      <c r="O130" s="7" t="inlineStr">
        <is>
          <t>Attrited</t>
        </is>
      </c>
      <c r="P130" s="2" t="inlineStr">
        <is>
          <t>Oct 2025</t>
        </is>
      </c>
      <c r="Q130" s="2" t="inlineStr">
        <is>
          <t>Work-Life Balance</t>
        </is>
      </c>
      <c r="R130" s="2" t="inlineStr">
        <is>
          <t>—</t>
        </is>
      </c>
    </row>
    <row r="131">
      <c r="A131" s="5" t="inlineStr">
        <is>
          <t>BFL10130</t>
        </is>
      </c>
      <c r="B131" s="6" t="inlineStr">
        <is>
          <t>Sneha Patil</t>
        </is>
      </c>
      <c r="C131" s="5" t="inlineStr">
        <is>
          <t>M5</t>
        </is>
      </c>
      <c r="D131" s="5" t="inlineStr">
        <is>
          <t>Operations</t>
        </is>
      </c>
      <c r="E131" s="5" t="inlineStr">
        <is>
          <t>Pune</t>
        </is>
      </c>
      <c r="F131" s="5" t="inlineStr">
        <is>
          <t>2015-08-01</t>
        </is>
      </c>
      <c r="G131" s="5" t="n">
        <v>8.800000000000001</v>
      </c>
      <c r="H131" s="5" t="n">
        <v>4</v>
      </c>
      <c r="I131" s="5" t="n">
        <v>2.9</v>
      </c>
      <c r="J131" s="5" t="inlineStr">
        <is>
          <t>Low</t>
        </is>
      </c>
      <c r="K131" s="5" t="n">
        <v>28</v>
      </c>
      <c r="L131" s="5" t="n">
        <v>1</v>
      </c>
      <c r="M131" s="5" t="n">
        <v>3.5</v>
      </c>
      <c r="N131" s="5" t="n">
        <v>19</v>
      </c>
      <c r="O131" s="4" t="inlineStr">
        <is>
          <t>Active</t>
        </is>
      </c>
      <c r="P131" s="5" t="inlineStr"/>
      <c r="Q131" s="5" t="inlineStr"/>
      <c r="R131" s="7" t="inlineStr">
        <is>
          <t>High Risk</t>
        </is>
      </c>
    </row>
    <row r="132">
      <c r="A132" s="2" t="inlineStr">
        <is>
          <t>BFL10131</t>
        </is>
      </c>
      <c r="B132" s="3" t="inlineStr">
        <is>
          <t>Sunita Joshi</t>
        </is>
      </c>
      <c r="C132" s="2" t="inlineStr">
        <is>
          <t>M5</t>
        </is>
      </c>
      <c r="D132" s="2" t="inlineStr">
        <is>
          <t>Risk &amp; Compliance</t>
        </is>
      </c>
      <c r="E132" s="2" t="inlineStr">
        <is>
          <t>Chennai</t>
        </is>
      </c>
      <c r="F132" s="2" t="inlineStr">
        <is>
          <t>2020-11-01</t>
        </is>
      </c>
      <c r="G132" s="2" t="n">
        <v>10.3</v>
      </c>
      <c r="H132" s="2" t="n">
        <v>2</v>
      </c>
      <c r="I132" s="2" t="n">
        <v>2.6</v>
      </c>
      <c r="J132" s="2" t="inlineStr">
        <is>
          <t>Low</t>
        </is>
      </c>
      <c r="K132" s="2" t="n">
        <v>28</v>
      </c>
      <c r="L132" s="2" t="n">
        <v>1</v>
      </c>
      <c r="M132" s="2" t="n">
        <v>4.7</v>
      </c>
      <c r="N132" s="2" t="n">
        <v>10</v>
      </c>
      <c r="O132" s="4" t="inlineStr">
        <is>
          <t>Active</t>
        </is>
      </c>
      <c r="P132" s="2" t="inlineStr"/>
      <c r="Q132" s="2" t="inlineStr"/>
      <c r="R132" s="8" t="inlineStr">
        <is>
          <t>Medium Risk</t>
        </is>
      </c>
    </row>
    <row r="133">
      <c r="A133" s="5" t="inlineStr">
        <is>
          <t>BFL10132</t>
        </is>
      </c>
      <c r="B133" s="6" t="inlineStr">
        <is>
          <t>Varun Singh</t>
        </is>
      </c>
      <c r="C133" s="5" t="inlineStr">
        <is>
          <t>M5</t>
        </is>
      </c>
      <c r="D133" s="5" t="inlineStr">
        <is>
          <t>Collections</t>
        </is>
      </c>
      <c r="E133" s="5" t="inlineStr">
        <is>
          <t>Pune</t>
        </is>
      </c>
      <c r="F133" s="5" t="inlineStr">
        <is>
          <t>2018-05-01</t>
        </is>
      </c>
      <c r="G133" s="5" t="n">
        <v>11</v>
      </c>
      <c r="H133" s="5" t="n">
        <v>4</v>
      </c>
      <c r="I133" s="5" t="n">
        <v>4.8</v>
      </c>
      <c r="J133" s="5" t="inlineStr">
        <is>
          <t>High</t>
        </is>
      </c>
      <c r="K133" s="5" t="n">
        <v>29</v>
      </c>
      <c r="L133" s="5" t="n">
        <v>0</v>
      </c>
      <c r="M133" s="5" t="n">
        <v>4.1</v>
      </c>
      <c r="N133" s="5" t="n">
        <v>15</v>
      </c>
      <c r="O133" s="7" t="inlineStr">
        <is>
          <t>Attrited</t>
        </is>
      </c>
      <c r="P133" s="5" t="inlineStr">
        <is>
          <t>Nov 2025</t>
        </is>
      </c>
      <c r="Q133" s="5" t="inlineStr">
        <is>
          <t>Personal Reasons</t>
        </is>
      </c>
      <c r="R133" s="5" t="inlineStr">
        <is>
          <t>—</t>
        </is>
      </c>
    </row>
    <row r="134">
      <c r="A134" s="2" t="inlineStr">
        <is>
          <t>BFL10133</t>
        </is>
      </c>
      <c r="B134" s="3" t="inlineStr">
        <is>
          <t>Lata Singh</t>
        </is>
      </c>
      <c r="C134" s="2" t="inlineStr">
        <is>
          <t>M3</t>
        </is>
      </c>
      <c r="D134" s="2" t="inlineStr">
        <is>
          <t>Operations</t>
        </is>
      </c>
      <c r="E134" s="2" t="inlineStr">
        <is>
          <t>Chennai</t>
        </is>
      </c>
      <c r="F134" s="2" t="inlineStr">
        <is>
          <t>2023-07-01</t>
        </is>
      </c>
      <c r="G134" s="2" t="n">
        <v>5.6</v>
      </c>
      <c r="H134" s="2" t="n">
        <v>2</v>
      </c>
      <c r="I134" s="2" t="n">
        <v>4.4</v>
      </c>
      <c r="J134" s="2" t="inlineStr">
        <is>
          <t>High</t>
        </is>
      </c>
      <c r="K134" s="2" t="n">
        <v>12</v>
      </c>
      <c r="L134" s="2" t="n">
        <v>0</v>
      </c>
      <c r="M134" s="2" t="n">
        <v>2.1</v>
      </c>
      <c r="N134" s="2" t="n">
        <v>2</v>
      </c>
      <c r="O134" s="7" t="inlineStr">
        <is>
          <t>Attrited</t>
        </is>
      </c>
      <c r="P134" s="2" t="inlineStr">
        <is>
          <t>Nov 2025</t>
        </is>
      </c>
      <c r="Q134" s="2" t="inlineStr">
        <is>
          <t>Relocation</t>
        </is>
      </c>
      <c r="R134" s="2" t="inlineStr">
        <is>
          <t>—</t>
        </is>
      </c>
    </row>
    <row r="135">
      <c r="A135" s="5" t="inlineStr">
        <is>
          <t>BFL10134</t>
        </is>
      </c>
      <c r="B135" s="6" t="inlineStr">
        <is>
          <t>Vivek Nair</t>
        </is>
      </c>
      <c r="C135" s="5" t="inlineStr">
        <is>
          <t>M2</t>
        </is>
      </c>
      <c r="D135" s="5" t="inlineStr">
        <is>
          <t>HR</t>
        </is>
      </c>
      <c r="E135" s="5" t="inlineStr">
        <is>
          <t>Chennai</t>
        </is>
      </c>
      <c r="F135" s="5" t="inlineStr">
        <is>
          <t>2019-03-01</t>
        </is>
      </c>
      <c r="G135" s="5" t="n">
        <v>1.3</v>
      </c>
      <c r="H135" s="5" t="n">
        <v>4</v>
      </c>
      <c r="I135" s="5" t="n">
        <v>2.3</v>
      </c>
      <c r="J135" s="5" t="inlineStr">
        <is>
          <t>Low</t>
        </is>
      </c>
      <c r="K135" s="5" t="n">
        <v>7</v>
      </c>
      <c r="L135" s="5" t="n">
        <v>2</v>
      </c>
      <c r="M135" s="5" t="n">
        <v>2.7</v>
      </c>
      <c r="N135" s="5" t="n">
        <v>3</v>
      </c>
      <c r="O135" s="7" t="inlineStr">
        <is>
          <t>Attrited</t>
        </is>
      </c>
      <c r="P135" s="5" t="inlineStr">
        <is>
          <t>Sep 2025</t>
        </is>
      </c>
      <c r="Q135" s="5" t="inlineStr">
        <is>
          <t>No Growth</t>
        </is>
      </c>
      <c r="R135" s="5" t="inlineStr">
        <is>
          <t>—</t>
        </is>
      </c>
    </row>
    <row r="136">
      <c r="A136" s="2" t="inlineStr">
        <is>
          <t>BFL10135</t>
        </is>
      </c>
      <c r="B136" s="3" t="inlineStr">
        <is>
          <t>Ankit Joshi</t>
        </is>
      </c>
      <c r="C136" s="2" t="inlineStr">
        <is>
          <t>M1</t>
        </is>
      </c>
      <c r="D136" s="2" t="inlineStr">
        <is>
          <t>Technology</t>
        </is>
      </c>
      <c r="E136" s="2" t="inlineStr">
        <is>
          <t>Bangalore</t>
        </is>
      </c>
      <c r="F136" s="2" t="inlineStr">
        <is>
          <t>2022-08-01</t>
        </is>
      </c>
      <c r="G136" s="2" t="n">
        <v>1.3</v>
      </c>
      <c r="H136" s="2" t="n">
        <v>5</v>
      </c>
      <c r="I136" s="2" t="n">
        <v>2.6</v>
      </c>
      <c r="J136" s="2" t="inlineStr">
        <is>
          <t>Low</t>
        </is>
      </c>
      <c r="K136" s="2" t="n">
        <v>3</v>
      </c>
      <c r="L136" s="2" t="n">
        <v>0</v>
      </c>
      <c r="M136" s="2" t="n">
        <v>4</v>
      </c>
      <c r="N136" s="2" t="n">
        <v>7</v>
      </c>
      <c r="O136" s="4" t="inlineStr">
        <is>
          <t>Active</t>
        </is>
      </c>
      <c r="P136" s="2" t="inlineStr"/>
      <c r="Q136" s="2" t="inlineStr"/>
      <c r="R136" s="8" t="inlineStr">
        <is>
          <t>Medium Risk</t>
        </is>
      </c>
    </row>
    <row r="137">
      <c r="A137" s="5" t="inlineStr">
        <is>
          <t>BFL10136</t>
        </is>
      </c>
      <c r="B137" s="6" t="inlineStr">
        <is>
          <t>Amit Kulkarni</t>
        </is>
      </c>
      <c r="C137" s="5" t="inlineStr">
        <is>
          <t>M4</t>
        </is>
      </c>
      <c r="D137" s="5" t="inlineStr">
        <is>
          <t>Technology</t>
        </is>
      </c>
      <c r="E137" s="5" t="inlineStr">
        <is>
          <t>Mumbai</t>
        </is>
      </c>
      <c r="F137" s="5" t="inlineStr">
        <is>
          <t>2021-08-01</t>
        </is>
      </c>
      <c r="G137" s="5" t="n">
        <v>5.1</v>
      </c>
      <c r="H137" s="5" t="n">
        <v>5</v>
      </c>
      <c r="I137" s="5" t="n">
        <v>4.6</v>
      </c>
      <c r="J137" s="5" t="inlineStr">
        <is>
          <t>High</t>
        </is>
      </c>
      <c r="K137" s="5" t="n">
        <v>17</v>
      </c>
      <c r="L137" s="5" t="n">
        <v>0</v>
      </c>
      <c r="M137" s="5" t="n">
        <v>3.7</v>
      </c>
      <c r="N137" s="5" t="n">
        <v>3</v>
      </c>
      <c r="O137" s="7" t="inlineStr">
        <is>
          <t>Attrited</t>
        </is>
      </c>
      <c r="P137" s="5" t="inlineStr">
        <is>
          <t>Aug 2025</t>
        </is>
      </c>
      <c r="Q137" s="5" t="inlineStr">
        <is>
          <t>No Growth</t>
        </is>
      </c>
      <c r="R137" s="5" t="inlineStr">
        <is>
          <t>—</t>
        </is>
      </c>
    </row>
    <row r="138">
      <c r="A138" s="2" t="inlineStr">
        <is>
          <t>BFL10137</t>
        </is>
      </c>
      <c r="B138" s="3" t="inlineStr">
        <is>
          <t>Pranav Bhatt</t>
        </is>
      </c>
      <c r="C138" s="2" t="inlineStr">
        <is>
          <t>M4</t>
        </is>
      </c>
      <c r="D138" s="2" t="inlineStr">
        <is>
          <t>Technology</t>
        </is>
      </c>
      <c r="E138" s="2" t="inlineStr">
        <is>
          <t>Ahmedabad</t>
        </is>
      </c>
      <c r="F138" s="2" t="inlineStr">
        <is>
          <t>2023-08-01</t>
        </is>
      </c>
      <c r="G138" s="2" t="n">
        <v>5.6</v>
      </c>
      <c r="H138" s="2" t="n">
        <v>3</v>
      </c>
      <c r="I138" s="2" t="n">
        <v>2.7</v>
      </c>
      <c r="J138" s="2" t="inlineStr">
        <is>
          <t>Low</t>
        </is>
      </c>
      <c r="K138" s="2" t="n">
        <v>20</v>
      </c>
      <c r="L138" s="2" t="n">
        <v>2</v>
      </c>
      <c r="M138" s="2" t="n">
        <v>2.8</v>
      </c>
      <c r="N138" s="2" t="n">
        <v>5</v>
      </c>
      <c r="O138" s="7" t="inlineStr">
        <is>
          <t>Attrited</t>
        </is>
      </c>
      <c r="P138" s="2" t="inlineStr">
        <is>
          <t>Mar 2026</t>
        </is>
      </c>
      <c r="Q138" s="2" t="inlineStr">
        <is>
          <t>Personal Reasons</t>
        </is>
      </c>
      <c r="R138" s="2" t="inlineStr">
        <is>
          <t>—</t>
        </is>
      </c>
    </row>
    <row r="139">
      <c r="A139" s="5" t="inlineStr">
        <is>
          <t>BFL10138</t>
        </is>
      </c>
      <c r="B139" s="6" t="inlineStr">
        <is>
          <t>Manoj Malhotra</t>
        </is>
      </c>
      <c r="C139" s="5" t="inlineStr">
        <is>
          <t>M2</t>
        </is>
      </c>
      <c r="D139" s="5" t="inlineStr">
        <is>
          <t>Technology</t>
        </is>
      </c>
      <c r="E139" s="5" t="inlineStr">
        <is>
          <t>Chennai</t>
        </is>
      </c>
      <c r="F139" s="5" t="inlineStr">
        <is>
          <t>2021-07-01</t>
        </is>
      </c>
      <c r="G139" s="5" t="n">
        <v>2.5</v>
      </c>
      <c r="H139" s="5" t="n">
        <v>3</v>
      </c>
      <c r="I139" s="5" t="n">
        <v>2.9</v>
      </c>
      <c r="J139" s="5" t="inlineStr">
        <is>
          <t>Low</t>
        </is>
      </c>
      <c r="K139" s="5" t="n">
        <v>6</v>
      </c>
      <c r="L139" s="5" t="n">
        <v>0</v>
      </c>
      <c r="M139" s="5" t="n">
        <v>4.9</v>
      </c>
      <c r="N139" s="5" t="n">
        <v>15</v>
      </c>
      <c r="O139" s="7" t="inlineStr">
        <is>
          <t>Attrited</t>
        </is>
      </c>
      <c r="P139" s="5" t="inlineStr">
        <is>
          <t>Jul 2025</t>
        </is>
      </c>
      <c r="Q139" s="5" t="inlineStr">
        <is>
          <t>Better Opportunity</t>
        </is>
      </c>
      <c r="R139" s="5" t="inlineStr">
        <is>
          <t>—</t>
        </is>
      </c>
    </row>
    <row r="140">
      <c r="A140" s="2" t="inlineStr">
        <is>
          <t>BFL10139</t>
        </is>
      </c>
      <c r="B140" s="3" t="inlineStr">
        <is>
          <t>Kiran Mishra</t>
        </is>
      </c>
      <c r="C140" s="2" t="inlineStr">
        <is>
          <t>M2</t>
        </is>
      </c>
      <c r="D140" s="2" t="inlineStr">
        <is>
          <t>Collections</t>
        </is>
      </c>
      <c r="E140" s="2" t="inlineStr">
        <is>
          <t>Ahmedabad</t>
        </is>
      </c>
      <c r="F140" s="2" t="inlineStr">
        <is>
          <t>2019-06-01</t>
        </is>
      </c>
      <c r="G140" s="2" t="n">
        <v>1.9</v>
      </c>
      <c r="H140" s="2" t="n">
        <v>3</v>
      </c>
      <c r="I140" s="2" t="n">
        <v>2.4</v>
      </c>
      <c r="J140" s="2" t="inlineStr">
        <is>
          <t>Low</t>
        </is>
      </c>
      <c r="K140" s="2" t="n">
        <v>8</v>
      </c>
      <c r="L140" s="2" t="n">
        <v>2</v>
      </c>
      <c r="M140" s="2" t="n">
        <v>2.7</v>
      </c>
      <c r="N140" s="2" t="n">
        <v>3</v>
      </c>
      <c r="O140" s="7" t="inlineStr">
        <is>
          <t>Attrited</t>
        </is>
      </c>
      <c r="P140" s="2" t="inlineStr">
        <is>
          <t>Aug 2025</t>
        </is>
      </c>
      <c r="Q140" s="2" t="inlineStr">
        <is>
          <t>Work-Life Balance</t>
        </is>
      </c>
      <c r="R140" s="2" t="inlineStr">
        <is>
          <t>—</t>
        </is>
      </c>
    </row>
    <row r="141">
      <c r="A141" s="5" t="inlineStr">
        <is>
          <t>BFL10140</t>
        </is>
      </c>
      <c r="B141" s="6" t="inlineStr">
        <is>
          <t>Nandita Bhatt</t>
        </is>
      </c>
      <c r="C141" s="5" t="inlineStr">
        <is>
          <t>M3</t>
        </is>
      </c>
      <c r="D141" s="5" t="inlineStr">
        <is>
          <t>Operations</t>
        </is>
      </c>
      <c r="E141" s="5" t="inlineStr">
        <is>
          <t>Hyderabad</t>
        </is>
      </c>
      <c r="F141" s="5" t="inlineStr">
        <is>
          <t>2019-06-01</t>
        </is>
      </c>
      <c r="G141" s="5" t="n">
        <v>4.5</v>
      </c>
      <c r="H141" s="5" t="n">
        <v>4</v>
      </c>
      <c r="I141" s="5" t="n">
        <v>4.9</v>
      </c>
      <c r="J141" s="5" t="inlineStr">
        <is>
          <t>High</t>
        </is>
      </c>
      <c r="K141" s="5" t="n">
        <v>14</v>
      </c>
      <c r="L141" s="5" t="n">
        <v>0</v>
      </c>
      <c r="M141" s="5" t="n">
        <v>3.4</v>
      </c>
      <c r="N141" s="5" t="n">
        <v>19</v>
      </c>
      <c r="O141" s="7" t="inlineStr">
        <is>
          <t>Attrited</t>
        </is>
      </c>
      <c r="P141" s="5" t="inlineStr">
        <is>
          <t>Oct 2025</t>
        </is>
      </c>
      <c r="Q141" s="5" t="inlineStr">
        <is>
          <t>Startup Opportunity</t>
        </is>
      </c>
      <c r="R141" s="5" t="inlineStr">
        <is>
          <t>—</t>
        </is>
      </c>
    </row>
    <row r="142">
      <c r="A142" s="2" t="inlineStr">
        <is>
          <t>BFL10141</t>
        </is>
      </c>
      <c r="B142" s="3" t="inlineStr">
        <is>
          <t>Vivek Tiwari</t>
        </is>
      </c>
      <c r="C142" s="2" t="inlineStr">
        <is>
          <t>M2</t>
        </is>
      </c>
      <c r="D142" s="2" t="inlineStr">
        <is>
          <t>Risk &amp; Compliance</t>
        </is>
      </c>
      <c r="E142" s="2" t="inlineStr">
        <is>
          <t>Hyderabad</t>
        </is>
      </c>
      <c r="F142" s="2" t="inlineStr">
        <is>
          <t>2024-02-01</t>
        </is>
      </c>
      <c r="G142" s="2" t="n">
        <v>2.6</v>
      </c>
      <c r="H142" s="2" t="n">
        <v>2</v>
      </c>
      <c r="I142" s="2" t="n">
        <v>1.8</v>
      </c>
      <c r="J142" s="2" t="inlineStr">
        <is>
          <t>Very Low</t>
        </is>
      </c>
      <c r="K142" s="2" t="n">
        <v>6</v>
      </c>
      <c r="L142" s="2" t="n">
        <v>0</v>
      </c>
      <c r="M142" s="2" t="n">
        <v>4.5</v>
      </c>
      <c r="N142" s="2" t="n">
        <v>16</v>
      </c>
      <c r="O142" s="7" t="inlineStr">
        <is>
          <t>Attrited</t>
        </is>
      </c>
      <c r="P142" s="2" t="inlineStr">
        <is>
          <t>Jan 2026</t>
        </is>
      </c>
      <c r="Q142" s="2" t="inlineStr">
        <is>
          <t>Startup Opportunity</t>
        </is>
      </c>
      <c r="R142" s="2" t="inlineStr">
        <is>
          <t>—</t>
        </is>
      </c>
    </row>
    <row r="143">
      <c r="A143" s="5" t="inlineStr">
        <is>
          <t>BFL10142</t>
        </is>
      </c>
      <c r="B143" s="6" t="inlineStr">
        <is>
          <t>Neha Kulkarni</t>
        </is>
      </c>
      <c r="C143" s="5" t="inlineStr">
        <is>
          <t>M3</t>
        </is>
      </c>
      <c r="D143" s="5" t="inlineStr">
        <is>
          <t>Collections</t>
        </is>
      </c>
      <c r="E143" s="5" t="inlineStr">
        <is>
          <t>Mumbai</t>
        </is>
      </c>
      <c r="F143" s="5" t="inlineStr">
        <is>
          <t>2018-12-01</t>
        </is>
      </c>
      <c r="G143" s="5" t="n">
        <v>4.3</v>
      </c>
      <c r="H143" s="5" t="n">
        <v>3</v>
      </c>
      <c r="I143" s="5" t="n">
        <v>4.6</v>
      </c>
      <c r="J143" s="5" t="inlineStr">
        <is>
          <t>High</t>
        </is>
      </c>
      <c r="K143" s="5" t="n">
        <v>14</v>
      </c>
      <c r="L143" s="5" t="n">
        <v>0</v>
      </c>
      <c r="M143" s="5" t="n">
        <v>3.4</v>
      </c>
      <c r="N143" s="5" t="n">
        <v>16</v>
      </c>
      <c r="O143" s="7" t="inlineStr">
        <is>
          <t>Attrited</t>
        </is>
      </c>
      <c r="P143" s="5" t="inlineStr">
        <is>
          <t>Nov 2025</t>
        </is>
      </c>
      <c r="Q143" s="5" t="inlineStr">
        <is>
          <t>Better Opportunity</t>
        </is>
      </c>
      <c r="R143" s="5" t="inlineStr">
        <is>
          <t>—</t>
        </is>
      </c>
    </row>
    <row r="144">
      <c r="A144" s="2" t="inlineStr">
        <is>
          <t>BFL10143</t>
        </is>
      </c>
      <c r="B144" s="3" t="inlineStr">
        <is>
          <t>Lata Pandey</t>
        </is>
      </c>
      <c r="C144" s="2" t="inlineStr">
        <is>
          <t>M3</t>
        </is>
      </c>
      <c r="D144" s="2" t="inlineStr">
        <is>
          <t>Sales</t>
        </is>
      </c>
      <c r="E144" s="2" t="inlineStr">
        <is>
          <t>Bangalore</t>
        </is>
      </c>
      <c r="F144" s="2" t="inlineStr">
        <is>
          <t>2019-01-01</t>
        </is>
      </c>
      <c r="G144" s="2" t="n">
        <v>5</v>
      </c>
      <c r="H144" s="2" t="n">
        <v>3</v>
      </c>
      <c r="I144" s="2" t="n">
        <v>1.7</v>
      </c>
      <c r="J144" s="2" t="inlineStr">
        <is>
          <t>Very Low</t>
        </is>
      </c>
      <c r="K144" s="2" t="n">
        <v>13</v>
      </c>
      <c r="L144" s="2" t="n">
        <v>2</v>
      </c>
      <c r="M144" s="2" t="n">
        <v>2.2</v>
      </c>
      <c r="N144" s="2" t="n">
        <v>1</v>
      </c>
      <c r="O144" s="7" t="inlineStr">
        <is>
          <t>Attrited</t>
        </is>
      </c>
      <c r="P144" s="2" t="inlineStr">
        <is>
          <t>Nov 2025</t>
        </is>
      </c>
      <c r="Q144" s="2" t="inlineStr">
        <is>
          <t>Better Opportunity</t>
        </is>
      </c>
      <c r="R144" s="2" t="inlineStr">
        <is>
          <t>—</t>
        </is>
      </c>
    </row>
    <row r="145">
      <c r="A145" s="5" t="inlineStr">
        <is>
          <t>BFL10144</t>
        </is>
      </c>
      <c r="B145" s="6" t="inlineStr">
        <is>
          <t>Manoj Shah</t>
        </is>
      </c>
      <c r="C145" s="5" t="inlineStr">
        <is>
          <t>M2</t>
        </is>
      </c>
      <c r="D145" s="5" t="inlineStr">
        <is>
          <t>Technology</t>
        </is>
      </c>
      <c r="E145" s="5" t="inlineStr">
        <is>
          <t>Ahmedabad</t>
        </is>
      </c>
      <c r="F145" s="5" t="inlineStr">
        <is>
          <t>2021-06-01</t>
        </is>
      </c>
      <c r="G145" s="5" t="n">
        <v>4</v>
      </c>
      <c r="H145" s="5" t="n">
        <v>2</v>
      </c>
      <c r="I145" s="5" t="n">
        <v>3.1</v>
      </c>
      <c r="J145" s="5" t="inlineStr">
        <is>
          <t>Medium</t>
        </is>
      </c>
      <c r="K145" s="5" t="n">
        <v>9</v>
      </c>
      <c r="L145" s="5" t="n">
        <v>1</v>
      </c>
      <c r="M145" s="5" t="n">
        <v>2.2</v>
      </c>
      <c r="N145" s="5" t="n">
        <v>17</v>
      </c>
      <c r="O145" s="7" t="inlineStr">
        <is>
          <t>Attrited</t>
        </is>
      </c>
      <c r="P145" s="5" t="inlineStr">
        <is>
          <t>Feb 2026</t>
        </is>
      </c>
      <c r="Q145" s="5" t="inlineStr">
        <is>
          <t>Personal Reasons</t>
        </is>
      </c>
      <c r="R145" s="5" t="inlineStr">
        <is>
          <t>—</t>
        </is>
      </c>
    </row>
    <row r="146">
      <c r="A146" s="2" t="inlineStr">
        <is>
          <t>BFL10145</t>
        </is>
      </c>
      <c r="B146" s="3" t="inlineStr">
        <is>
          <t>Deepa Kulkarni</t>
        </is>
      </c>
      <c r="C146" s="2" t="inlineStr">
        <is>
          <t>M5</t>
        </is>
      </c>
      <c r="D146" s="2" t="inlineStr">
        <is>
          <t>Customer Experience</t>
        </is>
      </c>
      <c r="E146" s="2" t="inlineStr">
        <is>
          <t>Chennai</t>
        </is>
      </c>
      <c r="F146" s="2" t="inlineStr">
        <is>
          <t>2017-12-01</t>
        </is>
      </c>
      <c r="G146" s="2" t="n">
        <v>14.8</v>
      </c>
      <c r="H146" s="2" t="n">
        <v>3</v>
      </c>
      <c r="I146" s="2" t="n">
        <v>4.1</v>
      </c>
      <c r="J146" s="2" t="inlineStr">
        <is>
          <t>High</t>
        </is>
      </c>
      <c r="K146" s="2" t="n">
        <v>29</v>
      </c>
      <c r="L146" s="2" t="n">
        <v>1</v>
      </c>
      <c r="M146" s="2" t="n">
        <v>4</v>
      </c>
      <c r="N146" s="2" t="n">
        <v>17</v>
      </c>
      <c r="O146" s="4" t="inlineStr">
        <is>
          <t>Active</t>
        </is>
      </c>
      <c r="P146" s="2" t="inlineStr"/>
      <c r="Q146" s="2" t="inlineStr"/>
      <c r="R146" s="7" t="inlineStr">
        <is>
          <t>High Risk</t>
        </is>
      </c>
    </row>
    <row r="147">
      <c r="A147" s="5" t="inlineStr">
        <is>
          <t>BFL10146</t>
        </is>
      </c>
      <c r="B147" s="6" t="inlineStr">
        <is>
          <t>Pranav Mishra</t>
        </is>
      </c>
      <c r="C147" s="5" t="inlineStr">
        <is>
          <t>M2</t>
        </is>
      </c>
      <c r="D147" s="5" t="inlineStr">
        <is>
          <t>Risk &amp; Compliance</t>
        </is>
      </c>
      <c r="E147" s="5" t="inlineStr">
        <is>
          <t>Bangalore</t>
        </is>
      </c>
      <c r="F147" s="5" t="inlineStr">
        <is>
          <t>2020-03-01</t>
        </is>
      </c>
      <c r="G147" s="5" t="n">
        <v>1.8</v>
      </c>
      <c r="H147" s="5" t="n">
        <v>3</v>
      </c>
      <c r="I147" s="5" t="n">
        <v>1.6</v>
      </c>
      <c r="J147" s="5" t="inlineStr">
        <is>
          <t>Very Low</t>
        </is>
      </c>
      <c r="K147" s="5" t="n">
        <v>9</v>
      </c>
      <c r="L147" s="5" t="n">
        <v>1</v>
      </c>
      <c r="M147" s="5" t="n">
        <v>4.3</v>
      </c>
      <c r="N147" s="5" t="n">
        <v>0</v>
      </c>
      <c r="O147" s="7" t="inlineStr">
        <is>
          <t>Attrited</t>
        </is>
      </c>
      <c r="P147" s="5" t="inlineStr">
        <is>
          <t>Jul 2025</t>
        </is>
      </c>
      <c r="Q147" s="5" t="inlineStr">
        <is>
          <t>Higher Salary</t>
        </is>
      </c>
      <c r="R147" s="5" t="inlineStr">
        <is>
          <t>—</t>
        </is>
      </c>
    </row>
    <row r="148">
      <c r="A148" s="2" t="inlineStr">
        <is>
          <t>BFL10147</t>
        </is>
      </c>
      <c r="B148" s="3" t="inlineStr">
        <is>
          <t>Ankit Bose</t>
        </is>
      </c>
      <c r="C148" s="2" t="inlineStr">
        <is>
          <t>M1</t>
        </is>
      </c>
      <c r="D148" s="2" t="inlineStr">
        <is>
          <t>Collections</t>
        </is>
      </c>
      <c r="E148" s="2" t="inlineStr">
        <is>
          <t>Chennai</t>
        </is>
      </c>
      <c r="F148" s="2" t="inlineStr">
        <is>
          <t>2015-04-01</t>
        </is>
      </c>
      <c r="G148" s="2" t="n">
        <v>1.5</v>
      </c>
      <c r="H148" s="2" t="n">
        <v>2</v>
      </c>
      <c r="I148" s="2" t="n">
        <v>3</v>
      </c>
      <c r="J148" s="2" t="inlineStr">
        <is>
          <t>Medium</t>
        </is>
      </c>
      <c r="K148" s="2" t="n">
        <v>4</v>
      </c>
      <c r="L148" s="2" t="n">
        <v>0</v>
      </c>
      <c r="M148" s="2" t="n">
        <v>2.4</v>
      </c>
      <c r="N148" s="2" t="n">
        <v>9</v>
      </c>
      <c r="O148" s="7" t="inlineStr">
        <is>
          <t>Attrited</t>
        </is>
      </c>
      <c r="P148" s="2" t="inlineStr">
        <is>
          <t>Mar 2026</t>
        </is>
      </c>
      <c r="Q148" s="2" t="inlineStr">
        <is>
          <t>Personal Reasons</t>
        </is>
      </c>
      <c r="R148" s="2" t="inlineStr">
        <is>
          <t>—</t>
        </is>
      </c>
    </row>
    <row r="149">
      <c r="A149" s="5" t="inlineStr">
        <is>
          <t>BFL10148</t>
        </is>
      </c>
      <c r="B149" s="6" t="inlineStr">
        <is>
          <t>Girish Bose</t>
        </is>
      </c>
      <c r="C149" s="5" t="inlineStr">
        <is>
          <t>M3</t>
        </is>
      </c>
      <c r="D149" s="5" t="inlineStr">
        <is>
          <t>Risk &amp; Compliance</t>
        </is>
      </c>
      <c r="E149" s="5" t="inlineStr">
        <is>
          <t>Delhi</t>
        </is>
      </c>
      <c r="F149" s="5" t="inlineStr">
        <is>
          <t>2017-11-01</t>
        </is>
      </c>
      <c r="G149" s="5" t="n">
        <v>4.1</v>
      </c>
      <c r="H149" s="5" t="n">
        <v>2</v>
      </c>
      <c r="I149" s="5" t="n">
        <v>2.6</v>
      </c>
      <c r="J149" s="5" t="inlineStr">
        <is>
          <t>Low</t>
        </is>
      </c>
      <c r="K149" s="5" t="n">
        <v>11</v>
      </c>
      <c r="L149" s="5" t="n">
        <v>1</v>
      </c>
      <c r="M149" s="5" t="n">
        <v>4.8</v>
      </c>
      <c r="N149" s="5" t="n">
        <v>5</v>
      </c>
      <c r="O149" s="4" t="inlineStr">
        <is>
          <t>Active</t>
        </is>
      </c>
      <c r="P149" s="5" t="inlineStr"/>
      <c r="Q149" s="5" t="inlineStr"/>
      <c r="R149" s="8" t="inlineStr">
        <is>
          <t>Medium Risk</t>
        </is>
      </c>
    </row>
    <row r="150">
      <c r="A150" s="2" t="inlineStr">
        <is>
          <t>BFL10149</t>
        </is>
      </c>
      <c r="B150" s="3" t="inlineStr">
        <is>
          <t>Asha Tiwari</t>
        </is>
      </c>
      <c r="C150" s="2" t="inlineStr">
        <is>
          <t>M4</t>
        </is>
      </c>
      <c r="D150" s="2" t="inlineStr">
        <is>
          <t>Sales</t>
        </is>
      </c>
      <c r="E150" s="2" t="inlineStr">
        <is>
          <t>Delhi</t>
        </is>
      </c>
      <c r="F150" s="2" t="inlineStr">
        <is>
          <t>2021-09-01</t>
        </is>
      </c>
      <c r="G150" s="2" t="n">
        <v>5.9</v>
      </c>
      <c r="H150" s="2" t="n">
        <v>2</v>
      </c>
      <c r="I150" s="2" t="n">
        <v>2.9</v>
      </c>
      <c r="J150" s="2" t="inlineStr">
        <is>
          <t>Low</t>
        </is>
      </c>
      <c r="K150" s="2" t="n">
        <v>19</v>
      </c>
      <c r="L150" s="2" t="n">
        <v>1</v>
      </c>
      <c r="M150" s="2" t="n">
        <v>2.6</v>
      </c>
      <c r="N150" s="2" t="n">
        <v>17</v>
      </c>
      <c r="O150" s="4" t="inlineStr">
        <is>
          <t>Active</t>
        </is>
      </c>
      <c r="P150" s="2" t="inlineStr"/>
      <c r="Q150" s="2" t="inlineStr"/>
      <c r="R150" s="7" t="inlineStr">
        <is>
          <t>High Risk</t>
        </is>
      </c>
    </row>
    <row r="151">
      <c r="A151" s="5" t="inlineStr">
        <is>
          <t>BFL10150</t>
        </is>
      </c>
      <c r="B151" s="6" t="inlineStr">
        <is>
          <t>Sneha Rao</t>
        </is>
      </c>
      <c r="C151" s="5" t="inlineStr">
        <is>
          <t>M3</t>
        </is>
      </c>
      <c r="D151" s="5" t="inlineStr">
        <is>
          <t>Technology</t>
        </is>
      </c>
      <c r="E151" s="5" t="inlineStr">
        <is>
          <t>Ahmedabad</t>
        </is>
      </c>
      <c r="F151" s="5" t="inlineStr">
        <is>
          <t>2022-01-01</t>
        </is>
      </c>
      <c r="G151" s="5" t="n">
        <v>4.2</v>
      </c>
      <c r="H151" s="5" t="n">
        <v>2</v>
      </c>
      <c r="I151" s="5" t="n">
        <v>3.5</v>
      </c>
      <c r="J151" s="5" t="inlineStr">
        <is>
          <t>Medium</t>
        </is>
      </c>
      <c r="K151" s="5" t="n">
        <v>12</v>
      </c>
      <c r="L151" s="5" t="n">
        <v>1</v>
      </c>
      <c r="M151" s="5" t="n">
        <v>2.7</v>
      </c>
      <c r="N151" s="5" t="n">
        <v>6</v>
      </c>
      <c r="O151" s="7" t="inlineStr">
        <is>
          <t>Attrited</t>
        </is>
      </c>
      <c r="P151" s="5" t="inlineStr">
        <is>
          <t>Feb 2026</t>
        </is>
      </c>
      <c r="Q151" s="5" t="inlineStr">
        <is>
          <t>Higher Salary</t>
        </is>
      </c>
      <c r="R151" s="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9" t="inlineStr">
        <is>
          <t>Bajaj Finance Limited — Employee Attrition Dashboard | FY 2026-27</t>
        </is>
      </c>
    </row>
    <row r="3">
      <c r="A3" s="10" t="inlineStr">
        <is>
          <t>SECTION A — Attrition by Department</t>
        </is>
      </c>
    </row>
    <row r="4">
      <c r="A4" s="1" t="inlineStr">
        <is>
          <t>Department</t>
        </is>
      </c>
      <c r="B4" s="1" t="inlineStr">
        <is>
          <t>Total HC</t>
        </is>
      </c>
      <c r="C4" s="1" t="inlineStr">
        <is>
          <t>Attrited</t>
        </is>
      </c>
      <c r="D4" s="1" t="inlineStr">
        <is>
          <t>Attrition %</t>
        </is>
      </c>
      <c r="E4" s="1" t="inlineStr">
        <is>
          <t>High Risk (Active)</t>
        </is>
      </c>
      <c r="F4" s="1" t="inlineStr">
        <is>
          <t>Avg Engagement</t>
        </is>
      </c>
      <c r="G4" s="1" t="inlineStr">
        <is>
          <t>Avg Tenure (Yrs)</t>
        </is>
      </c>
      <c r="H4" s="1" t="inlineStr">
        <is>
          <t>Key Exit Reason</t>
        </is>
      </c>
    </row>
    <row r="5">
      <c r="A5" s="6" t="inlineStr">
        <is>
          <t>Sales</t>
        </is>
      </c>
      <c r="B5" s="5" t="n">
        <v>210</v>
      </c>
      <c r="C5" s="5" t="n">
        <v>52</v>
      </c>
      <c r="D5" s="11">
        <f>C5/B5</f>
        <v/>
      </c>
      <c r="E5" s="5" t="n">
        <v>18</v>
      </c>
      <c r="F5" s="5" t="n">
        <v>3.1</v>
      </c>
      <c r="G5" s="5" t="n">
        <v>2.3</v>
      </c>
      <c r="H5" s="5" t="inlineStr">
        <is>
          <t>Better Opportunity</t>
        </is>
      </c>
    </row>
    <row r="6">
      <c r="A6" s="3" t="inlineStr">
        <is>
          <t>Operations</t>
        </is>
      </c>
      <c r="B6" s="2" t="n">
        <v>185</v>
      </c>
      <c r="C6" s="2" t="n">
        <v>38</v>
      </c>
      <c r="D6" s="12">
        <f>C6/B6</f>
        <v/>
      </c>
      <c r="E6" s="2" t="n">
        <v>12</v>
      </c>
      <c r="F6" s="2" t="n">
        <v>3.4</v>
      </c>
      <c r="G6" s="2" t="n">
        <v>3.1</v>
      </c>
      <c r="H6" s="2" t="inlineStr">
        <is>
          <t>Work-Life Balance</t>
        </is>
      </c>
    </row>
    <row r="7">
      <c r="A7" s="6" t="inlineStr">
        <is>
          <t>Technology</t>
        </is>
      </c>
      <c r="B7" s="5" t="n">
        <v>160</v>
      </c>
      <c r="C7" s="5" t="n">
        <v>48</v>
      </c>
      <c r="D7" s="11">
        <f>C7/B7</f>
        <v/>
      </c>
      <c r="E7" s="5" t="n">
        <v>22</v>
      </c>
      <c r="F7" s="5" t="n">
        <v>2.9</v>
      </c>
      <c r="G7" s="5" t="n">
        <v>2</v>
      </c>
      <c r="H7" s="5" t="inlineStr">
        <is>
          <t>Startup Opportunity</t>
        </is>
      </c>
    </row>
    <row r="8">
      <c r="A8" s="3" t="inlineStr">
        <is>
          <t>Risk &amp; Compliance</t>
        </is>
      </c>
      <c r="B8" s="2" t="n">
        <v>90</v>
      </c>
      <c r="C8" s="2" t="n">
        <v>14</v>
      </c>
      <c r="D8" s="12">
        <f>C8/B8</f>
        <v/>
      </c>
      <c r="E8" s="2" t="n">
        <v>4</v>
      </c>
      <c r="F8" s="2" t="n">
        <v>3.8</v>
      </c>
      <c r="G8" s="2" t="n">
        <v>4.2</v>
      </c>
      <c r="H8" s="2" t="inlineStr">
        <is>
          <t>Higher Salary</t>
        </is>
      </c>
    </row>
    <row r="9">
      <c r="A9" s="6" t="inlineStr">
        <is>
          <t>HR</t>
        </is>
      </c>
      <c r="B9" s="5" t="n">
        <v>55</v>
      </c>
      <c r="C9" s="5" t="n">
        <v>9</v>
      </c>
      <c r="D9" s="11">
        <f>C9/B9</f>
        <v/>
      </c>
      <c r="E9" s="5" t="n">
        <v>3</v>
      </c>
      <c r="F9" s="5" t="n">
        <v>3.6</v>
      </c>
      <c r="G9" s="5" t="n">
        <v>3.5</v>
      </c>
      <c r="H9" s="5" t="inlineStr">
        <is>
          <t>Career Growth</t>
        </is>
      </c>
    </row>
    <row r="10">
      <c r="A10" s="3" t="inlineStr">
        <is>
          <t>Finance</t>
        </is>
      </c>
      <c r="B10" s="2" t="n">
        <v>70</v>
      </c>
      <c r="C10" s="2" t="n">
        <v>10</v>
      </c>
      <c r="D10" s="12">
        <f>C10/B10</f>
        <v/>
      </c>
      <c r="E10" s="2" t="n">
        <v>3</v>
      </c>
      <c r="F10" s="2" t="n">
        <v>3.9</v>
      </c>
      <c r="G10" s="2" t="n">
        <v>4.8</v>
      </c>
      <c r="H10" s="2" t="inlineStr">
        <is>
          <t>Relocation</t>
        </is>
      </c>
    </row>
    <row r="11">
      <c r="A11" s="6" t="inlineStr">
        <is>
          <t>Customer Exp.</t>
        </is>
      </c>
      <c r="B11" s="5" t="n">
        <v>140</v>
      </c>
      <c r="C11" s="5" t="n">
        <v>36</v>
      </c>
      <c r="D11" s="11">
        <f>C11/B11</f>
        <v/>
      </c>
      <c r="E11" s="5" t="n">
        <v>15</v>
      </c>
      <c r="F11" s="5" t="n">
        <v>2.7</v>
      </c>
      <c r="G11" s="5" t="n">
        <v>1.8</v>
      </c>
      <c r="H11" s="5" t="inlineStr">
        <is>
          <t>Better Opportunity</t>
        </is>
      </c>
    </row>
    <row r="12">
      <c r="A12" s="3" t="inlineStr">
        <is>
          <t>Collections</t>
        </is>
      </c>
      <c r="B12" s="2" t="n">
        <v>120</v>
      </c>
      <c r="C12" s="2" t="n">
        <v>35</v>
      </c>
      <c r="D12" s="12">
        <f>C12/B12</f>
        <v/>
      </c>
      <c r="E12" s="2" t="n">
        <v>16</v>
      </c>
      <c r="F12" s="2" t="n">
        <v>2.5</v>
      </c>
      <c r="G12" s="2" t="n">
        <v>1.5</v>
      </c>
      <c r="H12" s="2" t="inlineStr">
        <is>
          <t>Better Opportunity</t>
        </is>
      </c>
    </row>
    <row r="13">
      <c r="A13" s="13" t="inlineStr">
        <is>
          <t>TOTAL / AVG</t>
        </is>
      </c>
      <c r="B13" s="13">
        <f>SUM(B5:B12)</f>
        <v/>
      </c>
      <c r="C13" s="13">
        <f>SUM(C5:C12)</f>
        <v/>
      </c>
      <c r="D13" s="14">
        <f>C13/B13</f>
        <v/>
      </c>
      <c r="E13" s="13">
        <f>SUM(E5:E12)</f>
        <v/>
      </c>
      <c r="F13" s="15">
        <f>AVERAGE(F5:F12)</f>
        <v/>
      </c>
      <c r="G13" s="15">
        <f>AVERAGE(G5:G12)</f>
        <v/>
      </c>
      <c r="H13" s="13" t="inlineStr"/>
    </row>
    <row r="15">
      <c r="A15" s="10" t="inlineStr">
        <is>
          <t>SECTION B — Attrition by Grade</t>
        </is>
      </c>
    </row>
    <row r="16">
      <c r="A16" s="16" t="inlineStr">
        <is>
          <t>Grade</t>
        </is>
      </c>
      <c r="B16" s="16" t="inlineStr">
        <is>
          <t>Total HC</t>
        </is>
      </c>
      <c r="C16" s="16" t="inlineStr">
        <is>
          <t>Attrited</t>
        </is>
      </c>
      <c r="D16" s="16" t="inlineStr">
        <is>
          <t>Attrition %</t>
        </is>
      </c>
      <c r="E16" s="16" t="inlineStr">
        <is>
          <t>Avg Salary (₹L PA)</t>
        </is>
      </c>
      <c r="F16" s="16" t="inlineStr">
        <is>
          <t>Avg Tenure (Yrs)</t>
        </is>
      </c>
      <c r="G16" s="16" t="inlineStr">
        <is>
          <t>Avg Engagement</t>
        </is>
      </c>
      <c r="H16" s="16" t="inlineStr">
        <is>
          <t>Promotion Rate</t>
        </is>
      </c>
    </row>
    <row r="17">
      <c r="A17" s="6" t="inlineStr">
        <is>
          <t>M1</t>
        </is>
      </c>
      <c r="B17" s="5" t="n">
        <v>320</v>
      </c>
      <c r="C17" s="5" t="n">
        <v>95</v>
      </c>
      <c r="D17" s="11">
        <f>C17/B17</f>
        <v/>
      </c>
      <c r="E17" s="5" t="n">
        <v>4.5</v>
      </c>
      <c r="F17" s="5" t="n">
        <v>1.2</v>
      </c>
      <c r="G17" s="5" t="n">
        <v>2.8</v>
      </c>
      <c r="H17" s="5" t="inlineStr">
        <is>
          <t>0%</t>
        </is>
      </c>
    </row>
    <row r="18">
      <c r="A18" s="3" t="inlineStr">
        <is>
          <t>M2</t>
        </is>
      </c>
      <c r="B18" s="2" t="n">
        <v>210</v>
      </c>
      <c r="C18" s="2" t="n">
        <v>72</v>
      </c>
      <c r="D18" s="12">
        <f>C18/B18</f>
        <v/>
      </c>
      <c r="E18" s="2" t="n">
        <v>7.2</v>
      </c>
      <c r="F18" s="2" t="n">
        <v>2.8</v>
      </c>
      <c r="G18" s="2" t="n">
        <v>3.1</v>
      </c>
      <c r="H18" s="2" t="inlineStr">
        <is>
          <t>18%</t>
        </is>
      </c>
    </row>
    <row r="19">
      <c r="A19" s="6" t="inlineStr">
        <is>
          <t>M3</t>
        </is>
      </c>
      <c r="B19" s="5" t="n">
        <v>140</v>
      </c>
      <c r="C19" s="5" t="n">
        <v>42</v>
      </c>
      <c r="D19" s="11">
        <f>C19/B19</f>
        <v/>
      </c>
      <c r="E19" s="5" t="n">
        <v>12.5</v>
      </c>
      <c r="F19" s="5" t="n">
        <v>4.1</v>
      </c>
      <c r="G19" s="5" t="n">
        <v>3.5</v>
      </c>
      <c r="H19" s="5" t="inlineStr">
        <is>
          <t>25%</t>
        </is>
      </c>
    </row>
    <row r="20">
      <c r="A20" s="3" t="inlineStr">
        <is>
          <t>M4</t>
        </is>
      </c>
      <c r="B20" s="2" t="n">
        <v>80</v>
      </c>
      <c r="C20" s="2" t="n">
        <v>20</v>
      </c>
      <c r="D20" s="12">
        <f>C20/B20</f>
        <v/>
      </c>
      <c r="E20" s="2" t="n">
        <v>19</v>
      </c>
      <c r="F20" s="2" t="n">
        <v>6.3</v>
      </c>
      <c r="G20" s="2" t="n">
        <v>3.9</v>
      </c>
      <c r="H20" s="2" t="inlineStr">
        <is>
          <t>35%</t>
        </is>
      </c>
    </row>
    <row r="21">
      <c r="A21" s="6" t="inlineStr">
        <is>
          <t>M5</t>
        </is>
      </c>
      <c r="B21" s="5" t="n">
        <v>30</v>
      </c>
      <c r="C21" s="5" t="n">
        <v>13</v>
      </c>
      <c r="D21" s="11">
        <f>C21/B21</f>
        <v/>
      </c>
      <c r="E21" s="5" t="n">
        <v>29.5</v>
      </c>
      <c r="F21" s="5" t="n">
        <v>8.5</v>
      </c>
      <c r="G21" s="5" t="n">
        <v>4.1</v>
      </c>
      <c r="H21" s="5" t="inlineStr">
        <is>
          <t>12%</t>
        </is>
      </c>
    </row>
    <row r="22">
      <c r="A22" s="13" t="inlineStr">
        <is>
          <t>TOTAL</t>
        </is>
      </c>
      <c r="B22" s="13">
        <f>SUM(B17:B21)</f>
        <v/>
      </c>
      <c r="C22" s="13">
        <f>SUM(C17:C21)</f>
        <v/>
      </c>
      <c r="D22" s="14">
        <f>C22/B22</f>
        <v/>
      </c>
      <c r="E22" s="13" t="inlineStr"/>
      <c r="F22" s="13" t="inlineStr"/>
      <c r="G22" s="13" t="inlineStr"/>
      <c r="H22" s="13" t="inlineStr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24" customWidth="1" min="5" max="5"/>
    <col width="18" customWidth="1" min="6" max="6"/>
    <col width="10" customWidth="1" min="7" max="7"/>
    <col width="12" customWidth="1" min="8" max="8"/>
    <col width="35" customWidth="1" min="9" max="9"/>
  </cols>
  <sheetData>
    <row r="1" ht="28" customHeight="1">
      <c r="A1" s="17" t="inlineStr">
        <is>
          <t>Bajaj Finance Limited — Monthly Attrition Trend | FY 2026-27</t>
        </is>
      </c>
    </row>
    <row r="3" ht="36" customHeight="1">
      <c r="A3" s="1" t="inlineStr">
        <is>
          <t>Month</t>
        </is>
      </c>
      <c r="B3" s="1" t="inlineStr">
        <is>
          <t>Total Exits</t>
        </is>
      </c>
      <c r="C3" s="1" t="inlineStr">
        <is>
          <t>Voluntary</t>
        </is>
      </c>
      <c r="D3" s="1" t="inlineStr">
        <is>
          <t>Involuntary</t>
        </is>
      </c>
      <c r="E3" s="1" t="inlineStr">
        <is>
          <t>New Hires</t>
        </is>
      </c>
      <c r="F3" s="1" t="inlineStr">
        <is>
          <t>Net HC Change</t>
        </is>
      </c>
      <c r="G3" s="1" t="inlineStr">
        <is>
          <t>Attrition Rate %</t>
        </is>
      </c>
      <c r="H3" s="1" t="inlineStr">
        <is>
          <t>Engagement Avg</t>
        </is>
      </c>
      <c r="I3" s="1" t="inlineStr">
        <is>
          <t>Comments</t>
        </is>
      </c>
    </row>
    <row r="4">
      <c r="A4" s="2" t="inlineStr">
        <is>
          <t>Apr 2025</t>
        </is>
      </c>
      <c r="B4" s="2" t="n">
        <v>18</v>
      </c>
      <c r="C4" s="2" t="n">
        <v>14</v>
      </c>
      <c r="D4" s="2" t="n">
        <v>4</v>
      </c>
      <c r="E4" s="2" t="n">
        <v>22</v>
      </c>
      <c r="F4" s="2">
        <f>E4-B4</f>
        <v/>
      </c>
      <c r="G4" s="18">
        <f>B4/1030</f>
        <v/>
      </c>
      <c r="H4" s="2" t="n">
        <v>3.4</v>
      </c>
      <c r="I4" s="3" t="inlineStr">
        <is>
          <t>High turnover in Sales post appraisal</t>
        </is>
      </c>
    </row>
    <row r="5">
      <c r="A5" s="5" t="inlineStr">
        <is>
          <t>May 2025</t>
        </is>
      </c>
      <c r="B5" s="5" t="n">
        <v>15</v>
      </c>
      <c r="C5" s="5" t="n">
        <v>12</v>
      </c>
      <c r="D5" s="5" t="n">
        <v>3</v>
      </c>
      <c r="E5" s="5" t="n">
        <v>18</v>
      </c>
      <c r="F5" s="5">
        <f>E5-B5</f>
        <v/>
      </c>
      <c r="G5" s="19">
        <f>B5/1030</f>
        <v/>
      </c>
      <c r="H5" s="5" t="n">
        <v>3.3</v>
      </c>
      <c r="I5" s="6" t="inlineStr">
        <is>
          <t>Collections attrition spike</t>
        </is>
      </c>
    </row>
    <row r="6">
      <c r="A6" s="2" t="inlineStr">
        <is>
          <t>Jun 2025</t>
        </is>
      </c>
      <c r="B6" s="2" t="n">
        <v>22</v>
      </c>
      <c r="C6" s="2" t="n">
        <v>19</v>
      </c>
      <c r="D6" s="2" t="n">
        <v>3</v>
      </c>
      <c r="E6" s="2" t="n">
        <v>25</v>
      </c>
      <c r="F6" s="2">
        <f>E6-B6</f>
        <v/>
      </c>
      <c r="G6" s="18">
        <f>B6/1030</f>
        <v/>
      </c>
      <c r="H6" s="2" t="n">
        <v>3.1</v>
      </c>
      <c r="I6" s="3" t="inlineStr">
        <is>
          <t>Tech exits to startups</t>
        </is>
      </c>
    </row>
    <row r="7">
      <c r="A7" s="5" t="inlineStr">
        <is>
          <t>Jul 2025</t>
        </is>
      </c>
      <c r="B7" s="5" t="n">
        <v>12</v>
      </c>
      <c r="C7" s="5" t="n">
        <v>10</v>
      </c>
      <c r="D7" s="5" t="n">
        <v>2</v>
      </c>
      <c r="E7" s="5" t="n">
        <v>20</v>
      </c>
      <c r="F7" s="5">
        <f>E7-B7</f>
        <v/>
      </c>
      <c r="G7" s="19">
        <f>B7/1030</f>
        <v/>
      </c>
      <c r="H7" s="5" t="n">
        <v>3.5</v>
      </c>
      <c r="I7" s="6" t="inlineStr">
        <is>
          <t>Stable month</t>
        </is>
      </c>
    </row>
    <row r="8">
      <c r="A8" s="2" t="inlineStr">
        <is>
          <t>Aug 2025</t>
        </is>
      </c>
      <c r="B8" s="2" t="n">
        <v>14</v>
      </c>
      <c r="C8" s="2" t="n">
        <v>12</v>
      </c>
      <c r="D8" s="2" t="n">
        <v>2</v>
      </c>
      <c r="E8" s="2" t="n">
        <v>16</v>
      </c>
      <c r="F8" s="2">
        <f>E8-B8</f>
        <v/>
      </c>
      <c r="G8" s="18">
        <f>B8/1030</f>
        <v/>
      </c>
      <c r="H8" s="2" t="n">
        <v>3.2</v>
      </c>
      <c r="I8" s="3" t="inlineStr">
        <is>
          <t>Customer Exp. exits</t>
        </is>
      </c>
    </row>
    <row r="9">
      <c r="A9" s="5" t="inlineStr">
        <is>
          <t>Sep 2025</t>
        </is>
      </c>
      <c r="B9" s="5" t="n">
        <v>20</v>
      </c>
      <c r="C9" s="5" t="n">
        <v>17</v>
      </c>
      <c r="D9" s="5" t="n">
        <v>3</v>
      </c>
      <c r="E9" s="5" t="n">
        <v>28</v>
      </c>
      <c r="F9" s="5">
        <f>E9-B9</f>
        <v/>
      </c>
      <c r="G9" s="19">
        <f>B9/1030</f>
        <v/>
      </c>
      <c r="H9" s="5" t="n">
        <v>2.9</v>
      </c>
      <c r="I9" s="6" t="inlineStr">
        <is>
          <t>Mid-year review exits</t>
        </is>
      </c>
    </row>
    <row r="10">
      <c r="A10" s="2" t="inlineStr">
        <is>
          <t>Oct 2025</t>
        </is>
      </c>
      <c r="B10" s="2" t="n">
        <v>11</v>
      </c>
      <c r="C10" s="2" t="n">
        <v>9</v>
      </c>
      <c r="D10" s="2" t="n">
        <v>2</v>
      </c>
      <c r="E10" s="2" t="n">
        <v>15</v>
      </c>
      <c r="F10" s="2">
        <f>E10-B10</f>
        <v/>
      </c>
      <c r="G10" s="18">
        <f>B10/1030</f>
        <v/>
      </c>
      <c r="H10" s="2" t="n">
        <v>3.6</v>
      </c>
      <c r="I10" s="3" t="inlineStr">
        <is>
          <t>Post-review stability</t>
        </is>
      </c>
    </row>
    <row r="11">
      <c r="A11" s="5" t="inlineStr">
        <is>
          <t>Nov 2025</t>
        </is>
      </c>
      <c r="B11" s="5" t="n">
        <v>13</v>
      </c>
      <c r="C11" s="5" t="n">
        <v>11</v>
      </c>
      <c r="D11" s="5" t="n">
        <v>2</v>
      </c>
      <c r="E11" s="5" t="n">
        <v>14</v>
      </c>
      <c r="F11" s="5">
        <f>E11-B11</f>
        <v/>
      </c>
      <c r="G11" s="19">
        <f>B11/1030</f>
        <v/>
      </c>
      <c r="H11" s="5" t="n">
        <v>3.4</v>
      </c>
      <c r="I11" s="6" t="inlineStr">
        <is>
          <t>Year-end planning</t>
        </is>
      </c>
    </row>
    <row r="12">
      <c r="A12" s="2" t="inlineStr">
        <is>
          <t>Dec 2025</t>
        </is>
      </c>
      <c r="B12" s="2" t="n">
        <v>8</v>
      </c>
      <c r="C12" s="2" t="n">
        <v>6</v>
      </c>
      <c r="D12" s="2" t="n">
        <v>2</v>
      </c>
      <c r="E12" s="2" t="n">
        <v>10</v>
      </c>
      <c r="F12" s="2">
        <f>E12-B12</f>
        <v/>
      </c>
      <c r="G12" s="18">
        <f>B12/1030</f>
        <v/>
      </c>
      <c r="H12" s="2" t="n">
        <v>3.7</v>
      </c>
      <c r="I12" s="3" t="inlineStr">
        <is>
          <t>Holiday month – low attrition</t>
        </is>
      </c>
    </row>
    <row r="13">
      <c r="A13" s="5" t="inlineStr">
        <is>
          <t>Jan 2026</t>
        </is>
      </c>
      <c r="B13" s="5" t="n">
        <v>16</v>
      </c>
      <c r="C13" s="5" t="n">
        <v>14</v>
      </c>
      <c r="D13" s="5" t="n">
        <v>2</v>
      </c>
      <c r="E13" s="5" t="n">
        <v>20</v>
      </c>
      <c r="F13" s="5">
        <f>E13-B13</f>
        <v/>
      </c>
      <c r="G13" s="19">
        <f>B13/1030</f>
        <v/>
      </c>
      <c r="H13" s="5" t="n">
        <v>3.3</v>
      </c>
      <c r="I13" s="6" t="inlineStr">
        <is>
          <t>New-year offers flowing in</t>
        </is>
      </c>
    </row>
    <row r="14">
      <c r="A14" s="2" t="inlineStr">
        <is>
          <t>Feb 2026</t>
        </is>
      </c>
      <c r="B14" s="2" t="n">
        <v>18</v>
      </c>
      <c r="C14" s="2" t="n">
        <v>15</v>
      </c>
      <c r="D14" s="2" t="n">
        <v>3</v>
      </c>
      <c r="E14" s="2" t="n">
        <v>22</v>
      </c>
      <c r="F14" s="2">
        <f>E14-B14</f>
        <v/>
      </c>
      <c r="G14" s="18">
        <f>B14/1030</f>
        <v/>
      </c>
      <c r="H14" s="2" t="n">
        <v>3.1</v>
      </c>
      <c r="I14" s="3" t="inlineStr">
        <is>
          <t>Tech &amp; Ops spike</t>
        </is>
      </c>
    </row>
    <row r="15">
      <c r="A15" s="5" t="inlineStr">
        <is>
          <t>Mar 2026</t>
        </is>
      </c>
      <c r="B15" s="5" t="n">
        <v>25</v>
      </c>
      <c r="C15" s="5" t="n">
        <v>21</v>
      </c>
      <c r="D15" s="5" t="n">
        <v>4</v>
      </c>
      <c r="E15" s="5" t="n">
        <v>18</v>
      </c>
      <c r="F15" s="5">
        <f>E15-B15</f>
        <v/>
      </c>
      <c r="G15" s="19">
        <f>B15/1030</f>
        <v/>
      </c>
      <c r="H15" s="5" t="n">
        <v>2.8</v>
      </c>
      <c r="I15" s="6" t="inlineStr">
        <is>
          <t>Year-end attrition – highest month</t>
        </is>
      </c>
    </row>
    <row r="16">
      <c r="A16" s="13" t="inlineStr">
        <is>
          <t>TOTAL / AVG</t>
        </is>
      </c>
      <c r="B16" s="13">
        <f>SUM(B4:B15)</f>
        <v/>
      </c>
      <c r="C16" s="13">
        <f>SUM(C4:C15)</f>
        <v/>
      </c>
      <c r="D16" s="13">
        <f>SUM(D4:D15)</f>
        <v/>
      </c>
      <c r="E16" s="13">
        <f>SUM(E4:E15)</f>
        <v/>
      </c>
      <c r="F16" s="13" t="n"/>
      <c r="G16" s="20">
        <f>B16/12360</f>
        <v/>
      </c>
      <c r="H16" s="15">
        <f>AVERAGE(H4:H15)</f>
        <v/>
      </c>
      <c r="I16" s="13" t="n"/>
    </row>
    <row r="19">
      <c r="A19" s="10" t="inlineStr">
        <is>
          <t>EXIT REASON ANALYSIS — Top Reasons (FY 2026-27)</t>
        </is>
      </c>
    </row>
    <row r="20" ht="36" customHeight="1">
      <c r="A20" s="21" t="inlineStr">
        <is>
          <t>Exit Reason</t>
        </is>
      </c>
      <c r="B20" s="21" t="inlineStr">
        <is>
          <t>Count</t>
        </is>
      </c>
      <c r="C20" s="21" t="inlineStr">
        <is>
          <t>% of Total Exits</t>
        </is>
      </c>
      <c r="D20" s="21" t="inlineStr">
        <is>
          <t>Primary Grade Affected</t>
        </is>
      </c>
      <c r="E20" s="21" t="inlineStr">
        <is>
          <t>Primary Dept Affected</t>
        </is>
      </c>
      <c r="F20" s="21" t="inlineStr">
        <is>
          <t>HR Action Status</t>
        </is>
      </c>
    </row>
    <row r="21">
      <c r="A21" s="3" t="inlineStr">
        <is>
          <t>Better Opportunity</t>
        </is>
      </c>
      <c r="B21" s="2" t="n">
        <v>58</v>
      </c>
      <c r="C21" s="12">
        <f>B21/242</f>
        <v/>
      </c>
      <c r="D21" s="3" t="inlineStr">
        <is>
          <t>M1, M2</t>
        </is>
      </c>
      <c r="E21" s="3" t="inlineStr">
        <is>
          <t>Sales, Customer Exp.</t>
        </is>
      </c>
      <c r="F21" s="3" t="inlineStr">
        <is>
          <t>Career pathing sessions initiated</t>
        </is>
      </c>
    </row>
    <row r="22">
      <c r="A22" s="6" t="inlineStr">
        <is>
          <t>Higher Salary</t>
        </is>
      </c>
      <c r="B22" s="5" t="n">
        <v>45</v>
      </c>
      <c r="C22" s="11">
        <f>B22/242</f>
        <v/>
      </c>
      <c r="D22" s="6" t="inlineStr">
        <is>
          <t>M2, M3</t>
        </is>
      </c>
      <c r="E22" s="6" t="inlineStr">
        <is>
          <t>Technology</t>
        </is>
      </c>
      <c r="F22" s="6" t="inlineStr">
        <is>
          <t>Salary benchmarking underway</t>
        </is>
      </c>
    </row>
    <row r="23">
      <c r="A23" s="3" t="inlineStr">
        <is>
          <t>Work-Life Balance</t>
        </is>
      </c>
      <c r="B23" s="2" t="n">
        <v>32</v>
      </c>
      <c r="C23" s="12">
        <f>B23/242</f>
        <v/>
      </c>
      <c r="D23" s="3" t="inlineStr">
        <is>
          <t>M1</t>
        </is>
      </c>
      <c r="E23" s="3" t="inlineStr">
        <is>
          <t>Operations, Collections</t>
        </is>
      </c>
      <c r="F23" s="3" t="inlineStr">
        <is>
          <t>Flexi-work policy reviewed</t>
        </is>
      </c>
    </row>
    <row r="24">
      <c r="A24" s="6" t="inlineStr">
        <is>
          <t>Startup Opportunity</t>
        </is>
      </c>
      <c r="B24" s="5" t="n">
        <v>28</v>
      </c>
      <c r="C24" s="11">
        <f>B24/242</f>
        <v/>
      </c>
      <c r="D24" s="6" t="inlineStr">
        <is>
          <t>M3</t>
        </is>
      </c>
      <c r="E24" s="6" t="inlineStr">
        <is>
          <t>Technology</t>
        </is>
      </c>
      <c r="F24" s="6" t="inlineStr">
        <is>
          <t>Retention bonus for Tech M3+</t>
        </is>
      </c>
    </row>
    <row r="25">
      <c r="A25" s="3" t="inlineStr">
        <is>
          <t>Career Growth</t>
        </is>
      </c>
      <c r="B25" s="2" t="n">
        <v>24</v>
      </c>
      <c r="C25" s="12">
        <f>B25/242</f>
        <v/>
      </c>
      <c r="D25" s="3" t="inlineStr">
        <is>
          <t>M2</t>
        </is>
      </c>
      <c r="E25" s="3" t="inlineStr">
        <is>
          <t>Sales, HR</t>
        </is>
      </c>
      <c r="F25" s="3" t="inlineStr">
        <is>
          <t>IDP program launched</t>
        </is>
      </c>
    </row>
    <row r="26">
      <c r="A26" s="6" t="inlineStr">
        <is>
          <t>Relocation</t>
        </is>
      </c>
      <c r="B26" s="5" t="n">
        <v>18</v>
      </c>
      <c r="C26" s="11">
        <f>B26/242</f>
        <v/>
      </c>
      <c r="D26" s="6" t="inlineStr">
        <is>
          <t>All Grades</t>
        </is>
      </c>
      <c r="E26" s="6" t="inlineStr">
        <is>
          <t>Pan-India</t>
        </is>
      </c>
      <c r="F26" s="6" t="inlineStr">
        <is>
          <t>Transfer policy eased</t>
        </is>
      </c>
    </row>
    <row r="27">
      <c r="A27" s="3" t="inlineStr">
        <is>
          <t>Toxic Manager</t>
        </is>
      </c>
      <c r="B27" s="2" t="n">
        <v>15</v>
      </c>
      <c r="C27" s="12">
        <f>B27/242</f>
        <v/>
      </c>
      <c r="D27" s="3" t="inlineStr">
        <is>
          <t>M1, M2</t>
        </is>
      </c>
      <c r="E27" s="3" t="inlineStr">
        <is>
          <t>Collections</t>
        </is>
      </c>
      <c r="F27" s="3" t="inlineStr">
        <is>
          <t>Manager effectiveness survey</t>
        </is>
      </c>
    </row>
    <row r="28">
      <c r="A28" s="6" t="inlineStr">
        <is>
          <t>Personal Reasons</t>
        </is>
      </c>
      <c r="B28" s="5" t="n">
        <v>12</v>
      </c>
      <c r="C28" s="11">
        <f>B28/242</f>
        <v/>
      </c>
      <c r="D28" s="6" t="inlineStr">
        <is>
          <t>M1</t>
        </is>
      </c>
      <c r="E28" s="6" t="inlineStr">
        <is>
          <t>Multiple</t>
        </is>
      </c>
      <c r="F28" s="6" t="inlineStr">
        <is>
          <t>No specific action</t>
        </is>
      </c>
    </row>
    <row r="29">
      <c r="A29" s="3" t="inlineStr">
        <is>
          <t>No Growth</t>
        </is>
      </c>
      <c r="B29" s="2" t="n">
        <v>10</v>
      </c>
      <c r="C29" s="12">
        <f>B29/242</f>
        <v/>
      </c>
      <c r="D29" s="3" t="inlineStr">
        <is>
          <t>M4, M5</t>
        </is>
      </c>
      <c r="E29" s="3" t="inlineStr">
        <is>
          <t>Finance, Risk</t>
        </is>
      </c>
      <c r="F29" s="3" t="inlineStr">
        <is>
          <t>Leadership pipeline review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12" customWidth="1" min="11" max="11"/>
    <col width="35" customWidth="1" min="12" max="12"/>
  </cols>
  <sheetData>
    <row r="1" ht="28" customHeight="1">
      <c r="A1" s="17" t="inlineStr">
        <is>
          <t>Bajaj Finance Limited — High Risk Active Employees | Intervention Priority List</t>
        </is>
      </c>
    </row>
    <row r="3" ht="40" customHeight="1">
      <c r="A3" s="22" t="inlineStr">
        <is>
          <t>Emp ID</t>
        </is>
      </c>
      <c r="B3" s="22" t="inlineStr">
        <is>
          <t>Employee Name</t>
        </is>
      </c>
      <c r="C3" s="22" t="inlineStr">
        <is>
          <t>Grade</t>
        </is>
      </c>
      <c r="D3" s="22" t="inlineStr">
        <is>
          <t>Department</t>
        </is>
      </c>
      <c r="E3" s="22" t="inlineStr">
        <is>
          <t>Location</t>
        </is>
      </c>
      <c r="F3" s="22" t="inlineStr">
        <is>
          <t>Engagement Score</t>
        </is>
      </c>
      <c r="G3" s="22" t="inlineStr">
        <is>
          <t>Absenteeism Days</t>
        </is>
      </c>
      <c r="H3" s="22" t="inlineStr">
        <is>
          <t>Last Perf Rating</t>
        </is>
      </c>
      <c r="I3" s="22" t="inlineStr">
        <is>
          <t>Promotions (3 Yrs)</t>
        </is>
      </c>
      <c r="J3" s="22" t="inlineStr">
        <is>
          <t>Tenure (Yrs)</t>
        </is>
      </c>
      <c r="K3" s="22" t="inlineStr">
        <is>
          <t>Risk Level</t>
        </is>
      </c>
      <c r="L3" s="22" t="inlineStr">
        <is>
          <t>Recommended Action</t>
        </is>
      </c>
    </row>
    <row r="4">
      <c r="A4" s="23" t="inlineStr">
        <is>
          <t>BFL10005</t>
        </is>
      </c>
      <c r="B4" s="24" t="inlineStr">
        <is>
          <t>Priya Sharma</t>
        </is>
      </c>
      <c r="C4" s="23" t="inlineStr">
        <is>
          <t>M1</t>
        </is>
      </c>
      <c r="D4" s="23" t="inlineStr">
        <is>
          <t>Sales</t>
        </is>
      </c>
      <c r="E4" s="23" t="inlineStr">
        <is>
          <t>Mumbai</t>
        </is>
      </c>
      <c r="F4" s="23" t="n">
        <v>1.8</v>
      </c>
      <c r="G4" s="23" t="n">
        <v>16</v>
      </c>
      <c r="H4" s="23" t="n">
        <v>2</v>
      </c>
      <c r="I4" s="23" t="n">
        <v>0</v>
      </c>
      <c r="J4" s="23" t="n">
        <v>1.2</v>
      </c>
      <c r="K4" s="7" t="inlineStr">
        <is>
          <t>High Risk</t>
        </is>
      </c>
      <c r="L4" s="24" t="inlineStr">
        <is>
          <t>1-on-1 with Manager + Career Chat</t>
        </is>
      </c>
    </row>
    <row r="5">
      <c r="A5" s="23" t="inlineStr">
        <is>
          <t>BFL10018</t>
        </is>
      </c>
      <c r="B5" s="24" t="inlineStr">
        <is>
          <t>Amit Verma</t>
        </is>
      </c>
      <c r="C5" s="23" t="inlineStr">
        <is>
          <t>M2</t>
        </is>
      </c>
      <c r="D5" s="23" t="inlineStr">
        <is>
          <t>Technology</t>
        </is>
      </c>
      <c r="E5" s="23" t="inlineStr">
        <is>
          <t>Bangalore</t>
        </is>
      </c>
      <c r="F5" s="23" t="n">
        <v>2.1</v>
      </c>
      <c r="G5" s="23" t="n">
        <v>14</v>
      </c>
      <c r="H5" s="23" t="n">
        <v>3</v>
      </c>
      <c r="I5" s="23" t="n">
        <v>0</v>
      </c>
      <c r="J5" s="23" t="n">
        <v>3.1</v>
      </c>
      <c r="K5" s="7" t="inlineStr">
        <is>
          <t>High Risk</t>
        </is>
      </c>
      <c r="L5" s="24" t="inlineStr">
        <is>
          <t>Retention offer + IDP session</t>
        </is>
      </c>
    </row>
    <row r="6">
      <c r="A6" s="23" t="inlineStr">
        <is>
          <t>BFL10031</t>
        </is>
      </c>
      <c r="B6" s="24" t="inlineStr">
        <is>
          <t>Sunita Patil</t>
        </is>
      </c>
      <c r="C6" s="23" t="inlineStr">
        <is>
          <t>M1</t>
        </is>
      </c>
      <c r="D6" s="23" t="inlineStr">
        <is>
          <t>Collections</t>
        </is>
      </c>
      <c r="E6" s="23" t="inlineStr">
        <is>
          <t>Pune</t>
        </is>
      </c>
      <c r="F6" s="23" t="n">
        <v>1.6</v>
      </c>
      <c r="G6" s="23" t="n">
        <v>18</v>
      </c>
      <c r="H6" s="23" t="n">
        <v>2</v>
      </c>
      <c r="I6" s="23" t="n">
        <v>0</v>
      </c>
      <c r="J6" s="23" t="n">
        <v>0.9</v>
      </c>
      <c r="K6" s="7" t="inlineStr">
        <is>
          <t>High Risk</t>
        </is>
      </c>
      <c r="L6" s="24" t="inlineStr">
        <is>
          <t>Manager intervention + pay review</t>
        </is>
      </c>
    </row>
    <row r="7">
      <c r="A7" s="23" t="inlineStr">
        <is>
          <t>BFL10044</t>
        </is>
      </c>
      <c r="B7" s="24" t="inlineStr">
        <is>
          <t>Vikram Nair</t>
        </is>
      </c>
      <c r="C7" s="23" t="inlineStr">
        <is>
          <t>M3</t>
        </is>
      </c>
      <c r="D7" s="23" t="inlineStr">
        <is>
          <t>Technology</t>
        </is>
      </c>
      <c r="E7" s="23" t="inlineStr">
        <is>
          <t>Hyderabad</t>
        </is>
      </c>
      <c r="F7" s="23" t="n">
        <v>2.3</v>
      </c>
      <c r="G7" s="23" t="n">
        <v>12</v>
      </c>
      <c r="H7" s="23" t="n">
        <v>3</v>
      </c>
      <c r="I7" s="23" t="n">
        <v>0</v>
      </c>
      <c r="J7" s="23" t="n">
        <v>4.2</v>
      </c>
      <c r="K7" s="7" t="inlineStr">
        <is>
          <t>High Risk</t>
        </is>
      </c>
      <c r="L7" s="24" t="inlineStr">
        <is>
          <t>Growth conversation + project lead role</t>
        </is>
      </c>
    </row>
    <row r="8">
      <c r="A8" s="23" t="inlineStr">
        <is>
          <t>BFL10057</t>
        </is>
      </c>
      <c r="B8" s="24" t="inlineStr">
        <is>
          <t>Meera Joshi</t>
        </is>
      </c>
      <c r="C8" s="23" t="inlineStr">
        <is>
          <t>M2</t>
        </is>
      </c>
      <c r="D8" s="23" t="inlineStr">
        <is>
          <t>Customer Exp.</t>
        </is>
      </c>
      <c r="E8" s="23" t="inlineStr">
        <is>
          <t>Delhi</t>
        </is>
      </c>
      <c r="F8" s="23" t="n">
        <v>2</v>
      </c>
      <c r="G8" s="23" t="n">
        <v>15</v>
      </c>
      <c r="H8" s="23" t="n">
        <v>2</v>
      </c>
      <c r="I8" s="23" t="n">
        <v>0</v>
      </c>
      <c r="J8" s="23" t="n">
        <v>2.5</v>
      </c>
      <c r="K8" s="7" t="inlineStr">
        <is>
          <t>High Risk</t>
        </is>
      </c>
      <c r="L8" s="24" t="inlineStr">
        <is>
          <t>Skip-level meeting + flexi-work offer</t>
        </is>
      </c>
    </row>
    <row r="9">
      <c r="A9" s="23" t="inlineStr">
        <is>
          <t>BFL10072</t>
        </is>
      </c>
      <c r="B9" s="24" t="inlineStr">
        <is>
          <t>Ankit Rao</t>
        </is>
      </c>
      <c r="C9" s="23" t="inlineStr">
        <is>
          <t>M1</t>
        </is>
      </c>
      <c r="D9" s="23" t="inlineStr">
        <is>
          <t>Operations</t>
        </is>
      </c>
      <c r="E9" s="23" t="inlineStr">
        <is>
          <t>Chennai</t>
        </is>
      </c>
      <c r="F9" s="23" t="n">
        <v>1.9</v>
      </c>
      <c r="G9" s="23" t="n">
        <v>17</v>
      </c>
      <c r="H9" s="23" t="n">
        <v>3</v>
      </c>
      <c r="I9" s="23" t="n">
        <v>0</v>
      </c>
      <c r="J9" s="23" t="n">
        <v>1.1</v>
      </c>
      <c r="K9" s="7" t="inlineStr">
        <is>
          <t>High Risk</t>
        </is>
      </c>
      <c r="L9" s="24" t="inlineStr">
        <is>
          <t>Wellbeing check-in + L&amp;D enrollment</t>
        </is>
      </c>
    </row>
    <row r="10">
      <c r="A10" s="23" t="inlineStr">
        <is>
          <t>BFL10089</t>
        </is>
      </c>
      <c r="B10" s="24" t="inlineStr">
        <is>
          <t>Deepa Singh</t>
        </is>
      </c>
      <c r="C10" s="23" t="inlineStr">
        <is>
          <t>M2</t>
        </is>
      </c>
      <c r="D10" s="23" t="inlineStr">
        <is>
          <t>Sales</t>
        </is>
      </c>
      <c r="E10" s="23" t="inlineStr">
        <is>
          <t>Mumbai</t>
        </is>
      </c>
      <c r="F10" s="23" t="n">
        <v>2.2</v>
      </c>
      <c r="G10" s="23" t="n">
        <v>13</v>
      </c>
      <c r="H10" s="23" t="n">
        <v>2</v>
      </c>
      <c r="I10" s="23" t="n">
        <v>0</v>
      </c>
      <c r="J10" s="23" t="n">
        <v>2.8</v>
      </c>
      <c r="K10" s="7" t="inlineStr">
        <is>
          <t>High Risk</t>
        </is>
      </c>
      <c r="L10" s="24" t="inlineStr">
        <is>
          <t>Lateral move discussion</t>
        </is>
      </c>
    </row>
    <row r="11">
      <c r="A11" s="23" t="inlineStr">
        <is>
          <t>BFL10103</t>
        </is>
      </c>
      <c r="B11" s="24" t="inlineStr">
        <is>
          <t>Rahul Gupta</t>
        </is>
      </c>
      <c r="C11" s="23" t="inlineStr">
        <is>
          <t>M3</t>
        </is>
      </c>
      <c r="D11" s="23" t="inlineStr">
        <is>
          <t>Technology</t>
        </is>
      </c>
      <c r="E11" s="23" t="inlineStr">
        <is>
          <t>Bangalore</t>
        </is>
      </c>
      <c r="F11" s="23" t="n">
        <v>1.7</v>
      </c>
      <c r="G11" s="23" t="n">
        <v>16</v>
      </c>
      <c r="H11" s="23" t="n">
        <v>3</v>
      </c>
      <c r="I11" s="23" t="n">
        <v>0</v>
      </c>
      <c r="J11" s="23" t="n">
        <v>3.8</v>
      </c>
      <c r="K11" s="7" t="inlineStr">
        <is>
          <t>High Risk</t>
        </is>
      </c>
      <c r="L11" s="24" t="inlineStr">
        <is>
          <t>Counter-offer ready + ESOPs discussed</t>
        </is>
      </c>
    </row>
    <row r="12">
      <c r="A12" s="8" t="inlineStr">
        <is>
          <t>BFL10115</t>
        </is>
      </c>
      <c r="B12" s="25" t="inlineStr">
        <is>
          <t>Neha Kulkarni</t>
        </is>
      </c>
      <c r="C12" s="8" t="inlineStr">
        <is>
          <t>M1</t>
        </is>
      </c>
      <c r="D12" s="8" t="inlineStr">
        <is>
          <t>Collections</t>
        </is>
      </c>
      <c r="E12" s="8" t="inlineStr">
        <is>
          <t>Pune</t>
        </is>
      </c>
      <c r="F12" s="8" t="n">
        <v>2.4</v>
      </c>
      <c r="G12" s="8" t="n">
        <v>11</v>
      </c>
      <c r="H12" s="8" t="n">
        <v>2</v>
      </c>
      <c r="I12" s="8" t="n">
        <v>0</v>
      </c>
      <c r="J12" s="8" t="n">
        <v>1.4</v>
      </c>
      <c r="K12" s="26" t="inlineStr">
        <is>
          <t>Medium Risk</t>
        </is>
      </c>
      <c r="L12" s="25" t="inlineStr">
        <is>
          <t>Engagement survey + check-in</t>
        </is>
      </c>
    </row>
    <row r="13">
      <c r="A13" s="8" t="inlineStr">
        <is>
          <t>BFL10128</t>
        </is>
      </c>
      <c r="B13" s="25" t="inlineStr">
        <is>
          <t>Sanjay Iyer</t>
        </is>
      </c>
      <c r="C13" s="8" t="inlineStr">
        <is>
          <t>M2</t>
        </is>
      </c>
      <c r="D13" s="8" t="inlineStr">
        <is>
          <t>Customer Exp.</t>
        </is>
      </c>
      <c r="E13" s="8" t="inlineStr">
        <is>
          <t>Ahmedabad</t>
        </is>
      </c>
      <c r="F13" s="8" t="n">
        <v>2.8</v>
      </c>
      <c r="G13" s="8" t="n">
        <v>10</v>
      </c>
      <c r="H13" s="8" t="n">
        <v>3</v>
      </c>
      <c r="I13" s="8" t="n">
        <v>1</v>
      </c>
      <c r="J13" s="8" t="n">
        <v>2.2</v>
      </c>
      <c r="K13" s="26" t="inlineStr">
        <is>
          <t>Medium Risk</t>
        </is>
      </c>
      <c r="L13" s="25" t="inlineStr">
        <is>
          <t>Career mapping session</t>
        </is>
      </c>
    </row>
    <row r="14">
      <c r="A14" s="8" t="inlineStr">
        <is>
          <t>BFL10139</t>
        </is>
      </c>
      <c r="B14" s="25" t="inlineStr">
        <is>
          <t>Kavita Mehta</t>
        </is>
      </c>
      <c r="C14" s="8" t="inlineStr">
        <is>
          <t>M4</t>
        </is>
      </c>
      <c r="D14" s="8" t="inlineStr">
        <is>
          <t>Finance</t>
        </is>
      </c>
      <c r="E14" s="8" t="inlineStr">
        <is>
          <t>Mumbai</t>
        </is>
      </c>
      <c r="F14" s="8" t="n">
        <v>3.1</v>
      </c>
      <c r="G14" s="8" t="n">
        <v>9</v>
      </c>
      <c r="H14" s="8" t="n">
        <v>3</v>
      </c>
      <c r="I14" s="8" t="n">
        <v>0</v>
      </c>
      <c r="J14" s="8" t="n">
        <v>6.5</v>
      </c>
      <c r="K14" s="26" t="inlineStr">
        <is>
          <t>Medium Risk</t>
        </is>
      </c>
      <c r="L14" s="25" t="inlineStr">
        <is>
          <t>Promotion review fast-track</t>
        </is>
      </c>
    </row>
    <row r="15">
      <c r="A15" s="8" t="inlineStr">
        <is>
          <t>BFL10147</t>
        </is>
      </c>
      <c r="B15" s="25" t="inlineStr">
        <is>
          <t>Ravi Bhatt</t>
        </is>
      </c>
      <c r="C15" s="8" t="inlineStr">
        <is>
          <t>M3</t>
        </is>
      </c>
      <c r="D15" s="8" t="inlineStr">
        <is>
          <t>HR</t>
        </is>
      </c>
      <c r="E15" s="8" t="inlineStr">
        <is>
          <t>Pune</t>
        </is>
      </c>
      <c r="F15" s="8" t="n">
        <v>2.9</v>
      </c>
      <c r="G15" s="8" t="n">
        <v>8</v>
      </c>
      <c r="H15" s="8" t="n">
        <v>4</v>
      </c>
      <c r="I15" s="8" t="n">
        <v>0</v>
      </c>
      <c r="J15" s="8" t="n">
        <v>4</v>
      </c>
      <c r="K15" s="26" t="inlineStr">
        <is>
          <t>Medium Risk</t>
        </is>
      </c>
      <c r="L15" s="25" t="inlineStr">
        <is>
          <t>Visibility project assignment</t>
        </is>
      </c>
    </row>
    <row r="16">
      <c r="A16" s="23" t="inlineStr">
        <is>
          <t>BFL10152</t>
        </is>
      </c>
      <c r="B16" s="24" t="inlineStr">
        <is>
          <t>Pooja Mishra</t>
        </is>
      </c>
      <c r="C16" s="23" t="inlineStr">
        <is>
          <t>M1</t>
        </is>
      </c>
      <c r="D16" s="23" t="inlineStr">
        <is>
          <t>Sales</t>
        </is>
      </c>
      <c r="E16" s="23" t="inlineStr">
        <is>
          <t>Delhi</t>
        </is>
      </c>
      <c r="F16" s="23" t="n">
        <v>2.3</v>
      </c>
      <c r="G16" s="23" t="n">
        <v>12</v>
      </c>
      <c r="H16" s="23" t="n">
        <v>2</v>
      </c>
      <c r="I16" s="23" t="n">
        <v>0</v>
      </c>
      <c r="J16" s="23" t="n">
        <v>1</v>
      </c>
      <c r="K16" s="7" t="inlineStr">
        <is>
          <t>High Risk</t>
        </is>
      </c>
      <c r="L16" s="24" t="inlineStr">
        <is>
          <t>Immediate manager coaching</t>
        </is>
      </c>
    </row>
    <row r="17">
      <c r="A17" s="23" t="inlineStr">
        <is>
          <t>BFL10158</t>
        </is>
      </c>
      <c r="B17" s="24" t="inlineStr">
        <is>
          <t>Arun Desai</t>
        </is>
      </c>
      <c r="C17" s="23" t="inlineStr">
        <is>
          <t>M2</t>
        </is>
      </c>
      <c r="D17" s="23" t="inlineStr">
        <is>
          <t>Operations</t>
        </is>
      </c>
      <c r="E17" s="23" t="inlineStr">
        <is>
          <t>Mumbai</t>
        </is>
      </c>
      <c r="F17" s="23" t="n">
        <v>2</v>
      </c>
      <c r="G17" s="23" t="n">
        <v>14</v>
      </c>
      <c r="H17" s="23" t="n">
        <v>3</v>
      </c>
      <c r="I17" s="23" t="n">
        <v>0</v>
      </c>
      <c r="J17" s="23" t="n">
        <v>3.3</v>
      </c>
      <c r="K17" s="7" t="inlineStr">
        <is>
          <t>High Risk</t>
        </is>
      </c>
      <c r="L17" s="24" t="inlineStr">
        <is>
          <t>Schedule skip-level + pay benchmark</t>
        </is>
      </c>
    </row>
    <row r="18">
      <c r="A18" s="23" t="inlineStr">
        <is>
          <t>BFL10163</t>
        </is>
      </c>
      <c r="B18" s="24" t="inlineStr">
        <is>
          <t>Sneha Reddy</t>
        </is>
      </c>
      <c r="C18" s="23" t="inlineStr">
        <is>
          <t>M1</t>
        </is>
      </c>
      <c r="D18" s="23" t="inlineStr">
        <is>
          <t>Collections</t>
        </is>
      </c>
      <c r="E18" s="23" t="inlineStr">
        <is>
          <t>Hyderabad</t>
        </is>
      </c>
      <c r="F18" s="23" t="n">
        <v>1.5</v>
      </c>
      <c r="G18" s="23" t="n">
        <v>19</v>
      </c>
      <c r="H18" s="23" t="n">
        <v>2</v>
      </c>
      <c r="I18" s="23" t="n">
        <v>0</v>
      </c>
      <c r="J18" s="23" t="n">
        <v>0.7</v>
      </c>
      <c r="K18" s="7" t="inlineStr">
        <is>
          <t>High Risk</t>
        </is>
      </c>
      <c r="L18" s="24" t="inlineStr">
        <is>
          <t>Exit prevention — urgent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 ht="30" customHeight="1">
      <c r="A1" s="17" t="inlineStr">
        <is>
          <t>Bajaj Finance Limited — HRBP Attrition Scorecard | FY 2026-27 Summary</t>
        </is>
      </c>
    </row>
    <row r="3" ht="28" customHeight="1">
      <c r="A3" s="27" t="inlineStr">
        <is>
          <t>HEADLINE METRICS</t>
        </is>
      </c>
      <c r="B3" s="28" t="n"/>
      <c r="C3" s="28" t="n"/>
      <c r="D3" s="28" t="n"/>
      <c r="E3" s="28" t="n"/>
      <c r="F3" s="29" t="n"/>
    </row>
    <row r="4" ht="22" customHeight="1">
      <c r="A4" s="30" t="inlineStr">
        <is>
          <t>Total Headcount (Start of FY)</t>
        </is>
      </c>
      <c r="B4" s="28" t="n"/>
      <c r="C4" s="29" t="n"/>
      <c r="D4" s="6" t="inlineStr">
        <is>
          <t>1,030</t>
        </is>
      </c>
      <c r="E4" s="28" t="n"/>
      <c r="F4" s="29" t="n"/>
    </row>
    <row r="5" ht="22" customHeight="1">
      <c r="A5" s="30" t="inlineStr">
        <is>
          <t>Total Attritions (FY 2026-27)</t>
        </is>
      </c>
      <c r="B5" s="28" t="n"/>
      <c r="C5" s="29" t="n"/>
      <c r="D5" s="6" t="inlineStr">
        <is>
          <t>242</t>
        </is>
      </c>
      <c r="E5" s="28" t="n"/>
      <c r="F5" s="29" t="n"/>
    </row>
    <row r="6" ht="22" customHeight="1">
      <c r="A6" s="30" t="inlineStr">
        <is>
          <t>Overall Attrition Rate</t>
        </is>
      </c>
      <c r="B6" s="28" t="n"/>
      <c r="C6" s="29" t="n"/>
      <c r="D6" s="6">
        <f>23.5%</f>
        <v/>
      </c>
      <c r="E6" s="28" t="n"/>
      <c r="F6" s="29" t="n"/>
    </row>
    <row r="7" ht="22" customHeight="1">
      <c r="A7" s="30" t="inlineStr">
        <is>
          <t>Voluntary Attrition</t>
        </is>
      </c>
      <c r="B7" s="28" t="n"/>
      <c r="C7" s="29" t="n"/>
      <c r="D7" s="6" t="inlineStr">
        <is>
          <t>200 (82.6%)</t>
        </is>
      </c>
      <c r="E7" s="28" t="n"/>
      <c r="F7" s="29" t="n"/>
    </row>
    <row r="8" ht="22" customHeight="1">
      <c r="A8" s="30" t="inlineStr">
        <is>
          <t>Involuntary Attrition</t>
        </is>
      </c>
      <c r="B8" s="28" t="n"/>
      <c r="C8" s="29" t="n"/>
      <c r="D8" s="6" t="inlineStr">
        <is>
          <t>42 (17.4%)</t>
        </is>
      </c>
      <c r="E8" s="28" t="n"/>
      <c r="F8" s="29" t="n"/>
    </row>
    <row r="9" ht="22" customHeight="1">
      <c r="A9" s="30" t="inlineStr">
        <is>
          <t>Net Headcount Change</t>
        </is>
      </c>
      <c r="B9" s="28" t="n"/>
      <c r="C9" s="29" t="n"/>
      <c r="D9" s="6">
        <f>SUM (New Hires − Exits)</f>
        <v/>
      </c>
      <c r="E9" s="28" t="n"/>
      <c r="F9" s="29" t="n"/>
    </row>
    <row r="10" ht="22" customHeight="1">
      <c r="A10" s="30" t="inlineStr">
        <is>
          <t>Avg Replacement Cost per Exit</t>
        </is>
      </c>
      <c r="B10" s="28" t="n"/>
      <c r="C10" s="29" t="n"/>
      <c r="D10" s="6" t="inlineStr">
        <is>
          <t>₹2.8L</t>
        </is>
      </c>
      <c r="E10" s="28" t="n"/>
      <c r="F10" s="29" t="n"/>
    </row>
    <row r="11" ht="22" customHeight="1">
      <c r="A11" s="30" t="inlineStr">
        <is>
          <t>Total Estimated Attrition Cost</t>
        </is>
      </c>
      <c r="B11" s="28" t="n"/>
      <c r="C11" s="29" t="n"/>
      <c r="D11" s="6" t="inlineStr">
        <is>
          <t>₹67.8 Cr</t>
        </is>
      </c>
      <c r="E11" s="28" t="n"/>
      <c r="F11" s="29" t="n"/>
    </row>
    <row r="12" ht="8" customHeight="1"/>
    <row r="13" ht="28" customHeight="1">
      <c r="A13" s="27" t="inlineStr">
        <is>
          <t>RISK INDICATORS</t>
        </is>
      </c>
      <c r="B13" s="28" t="n"/>
      <c r="C13" s="28" t="n"/>
      <c r="D13" s="28" t="n"/>
      <c r="E13" s="28" t="n"/>
      <c r="F13" s="29" t="n"/>
    </row>
    <row r="14" ht="22" customHeight="1">
      <c r="A14" s="30" t="inlineStr">
        <is>
          <t>High Risk Active Employees</t>
        </is>
      </c>
      <c r="B14" s="28" t="n"/>
      <c r="C14" s="29" t="n"/>
      <c r="D14" s="6" t="inlineStr">
        <is>
          <t>72</t>
        </is>
      </c>
      <c r="E14" s="28" t="n"/>
      <c r="F14" s="29" t="n"/>
    </row>
    <row r="15" ht="22" customHeight="1">
      <c r="A15" s="30" t="inlineStr">
        <is>
          <t>Medium Risk Active Employees</t>
        </is>
      </c>
      <c r="B15" s="28" t="n"/>
      <c r="C15" s="29" t="n"/>
      <c r="D15" s="6" t="inlineStr">
        <is>
          <t>124</t>
        </is>
      </c>
      <c r="E15" s="28" t="n"/>
      <c r="F15" s="29" t="n"/>
    </row>
    <row r="16" ht="22" customHeight="1">
      <c r="A16" s="30" t="inlineStr">
        <is>
          <t>Avg Engagement Score (Low Risk)</t>
        </is>
      </c>
      <c r="B16" s="28" t="n"/>
      <c r="C16" s="29" t="n"/>
      <c r="D16" s="6" t="inlineStr">
        <is>
          <t>4.1 / 5</t>
        </is>
      </c>
      <c r="E16" s="28" t="n"/>
      <c r="F16" s="29" t="n"/>
    </row>
    <row r="17" ht="22" customHeight="1">
      <c r="A17" s="30" t="inlineStr">
        <is>
          <t>Avg Engagement Score (High Risk)</t>
        </is>
      </c>
      <c r="B17" s="28" t="n"/>
      <c r="C17" s="29" t="n"/>
      <c r="D17" s="6" t="inlineStr">
        <is>
          <t>2.1 / 5</t>
        </is>
      </c>
      <c r="E17" s="28" t="n"/>
      <c r="F17" s="29" t="n"/>
    </row>
    <row r="18" ht="22" customHeight="1">
      <c r="A18" s="30" t="inlineStr">
        <is>
          <t>Avg Absenteeism – High Risk</t>
        </is>
      </c>
      <c r="B18" s="28" t="n"/>
      <c r="C18" s="29" t="n"/>
      <c r="D18" s="6" t="inlineStr">
        <is>
          <t>14.2 days</t>
        </is>
      </c>
      <c r="E18" s="28" t="n"/>
      <c r="F18" s="29" t="n"/>
    </row>
    <row r="19" ht="8" customHeight="1"/>
    <row r="20" ht="28" customHeight="1">
      <c r="A20" s="27" t="inlineStr">
        <is>
          <t>TOP ACTION ITEMS FOR HRBP</t>
        </is>
      </c>
      <c r="B20" s="28" t="n"/>
      <c r="C20" s="28" t="n"/>
      <c r="D20" s="28" t="n"/>
      <c r="E20" s="28" t="n"/>
      <c r="F20" s="29" t="n"/>
    </row>
    <row r="21" ht="22" customHeight="1">
      <c r="A21" s="30" t="inlineStr">
        <is>
          <t>1. Technology Dept</t>
        </is>
      </c>
      <c r="B21" s="28" t="n"/>
      <c r="C21" s="29" t="n"/>
      <c r="D21" s="6" t="inlineStr">
        <is>
          <t>Retention bonus for M3+ | Salary benchmarking vs. industry</t>
        </is>
      </c>
      <c r="E21" s="28" t="n"/>
      <c r="F21" s="29" t="n"/>
    </row>
    <row r="22" ht="22" customHeight="1">
      <c r="A22" s="30" t="inlineStr">
        <is>
          <t>2. Collections Dept</t>
        </is>
      </c>
      <c r="B22" s="28" t="n"/>
      <c r="C22" s="29" t="n"/>
      <c r="D22" s="6" t="inlineStr">
        <is>
          <t>Manager effectiveness — coaching programme Q1 FY27</t>
        </is>
      </c>
      <c r="E22" s="28" t="n"/>
      <c r="F22" s="29" t="n"/>
    </row>
    <row r="23" ht="22" customHeight="1">
      <c r="A23" s="30" t="inlineStr">
        <is>
          <t>3. Sales Dept</t>
        </is>
      </c>
      <c r="B23" s="28" t="n"/>
      <c r="C23" s="29" t="n"/>
      <c r="D23" s="6" t="inlineStr">
        <is>
          <t>Career pathing + flexi-work policy pilot</t>
        </is>
      </c>
      <c r="E23" s="28" t="n"/>
      <c r="F23" s="29" t="n"/>
    </row>
    <row r="24" ht="22" customHeight="1">
      <c r="A24" s="30" t="inlineStr">
        <is>
          <t>4. All M1/M2</t>
        </is>
      </c>
      <c r="B24" s="28" t="n"/>
      <c r="C24" s="29" t="n"/>
      <c r="D24" s="6" t="inlineStr">
        <is>
          <t>IDP rollout | Promotion review cadence increase</t>
        </is>
      </c>
      <c r="E24" s="28" t="n"/>
      <c r="F24" s="29" t="n"/>
    </row>
    <row r="25" ht="22" customHeight="1">
      <c r="A25" s="30" t="inlineStr">
        <is>
          <t>5. Engagement</t>
        </is>
      </c>
      <c r="B25" s="28" t="n"/>
      <c r="C25" s="29" t="n"/>
      <c r="D25" s="6" t="inlineStr">
        <is>
          <t>Pulse survey Q2 — target &lt; 3.0 segments first</t>
        </is>
      </c>
      <c r="E25" s="28" t="n"/>
      <c r="F25" s="29" t="n"/>
    </row>
  </sheetData>
  <mergeCells count="40">
    <mergeCell ref="A25:C25"/>
    <mergeCell ref="D11:F11"/>
    <mergeCell ref="A18:C18"/>
    <mergeCell ref="D17:F17"/>
    <mergeCell ref="A21:C21"/>
    <mergeCell ref="D7:F7"/>
    <mergeCell ref="A3:F3"/>
    <mergeCell ref="D16:F16"/>
    <mergeCell ref="A5:C5"/>
    <mergeCell ref="A23:C23"/>
    <mergeCell ref="A8:C8"/>
    <mergeCell ref="D4:F4"/>
    <mergeCell ref="A14:C14"/>
    <mergeCell ref="A22:C22"/>
    <mergeCell ref="A17:C17"/>
    <mergeCell ref="D18:F18"/>
    <mergeCell ref="D9:F9"/>
    <mergeCell ref="A20:F20"/>
    <mergeCell ref="D8:F8"/>
    <mergeCell ref="A4:C4"/>
    <mergeCell ref="D15:F15"/>
    <mergeCell ref="D25:F25"/>
    <mergeCell ref="D24:F24"/>
    <mergeCell ref="A10:C10"/>
    <mergeCell ref="D14:F14"/>
    <mergeCell ref="D5:F5"/>
    <mergeCell ref="A13:F13"/>
    <mergeCell ref="D23:F23"/>
    <mergeCell ref="A9:C9"/>
    <mergeCell ref="A15:C15"/>
    <mergeCell ref="A24:C24"/>
    <mergeCell ref="D10:F10"/>
    <mergeCell ref="A11:C11"/>
    <mergeCell ref="A1:F1"/>
    <mergeCell ref="A6:C6"/>
    <mergeCell ref="D22:F22"/>
    <mergeCell ref="D21:F21"/>
    <mergeCell ref="A7:C7"/>
    <mergeCell ref="D6:F6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2026-05-31T20:05:45Z</dcterms:created>
  <dcterms:modified xmlns:dcterms="http://purl.org/dc/terms/" xmlns:xsi="http://www.w3.org/2001/XMLSchema-instance" xsi:type="dcterms:W3CDTF">2026-05-31T20:05:45Z</dcterms:modified>
</cp:coreProperties>
</file>